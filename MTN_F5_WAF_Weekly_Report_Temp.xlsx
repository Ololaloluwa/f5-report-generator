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00"/>
  </bookViews>
  <sheets>
    <sheet name="Weekly Report Data" sheetId="1" r:id="rId1"/>
    <sheet name="Detailed Vuln Matrix IKY" sheetId="2" r:id="rId2"/>
    <sheet name="Detailed Vuln Matrix VGC" sheetId="3" r:id="rId3"/>
    <sheet name="Detailed Vuln Matrix OJT" sheetId="4" r:id="rId4"/>
    <sheet name="Summary Dashboard IKY" sheetId="5" r:id="rId5"/>
    <sheet name="Summary Dashboard VGC" sheetId="6" r:id="rId6"/>
    <sheet name="Summary Dashboard OJT"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<sst xmlns="http://schemas.openxmlformats.org/spreadsheetml/2006/main" count="1124" uniqueCount="261">
  <si>
    <t>Device Hosts</t>
  </si>
  <si>
    <t>NG-IKY-LTM-ASM-F5BIGIP-01.mtn.com.ng - ACTIVE NODE</t>
  </si>
  <si>
    <t xml:space="preserve"> NG-VGC-LTM-ASM-F5BIGIP-01.mtn.com.ng - ACTIVE NODE</t>
  </si>
  <si>
    <t xml:space="preserve">  NG-OJT-LTM-ASM-F5BIGIP-02.mtn.com.ng - ACTIVE NODE</t>
  </si>
  <si>
    <t>Report Range</t>
  </si>
  <si>
    <t>July 27th - August 2nd, 2026</t>
  </si>
  <si>
    <t>Generated By</t>
  </si>
  <si>
    <t>Aniebiet Joseph( Treten Networks Ltd)</t>
  </si>
  <si>
    <t>Client</t>
  </si>
  <si>
    <t>MTN Nigeria</t>
  </si>
  <si>
    <t>Severity Filter</t>
  </si>
  <si>
    <t>Critical and High Only</t>
  </si>
  <si>
    <t>Summary</t>
  </si>
  <si>
    <t>All Critical severity requests were intercepted and blocked by ASM policy. No pass-through or allowed events recorded.</t>
  </si>
  <si>
    <t>#</t>
  </si>
  <si>
    <t>Attack Type</t>
  </si>
  <si>
    <t>Violation Name(s)</t>
  </si>
  <si>
    <t>Title</t>
  </si>
  <si>
    <t>Severity</t>
  </si>
  <si>
    <t>Description</t>
  </si>
  <si>
    <t>Associated IP</t>
  </si>
  <si>
    <t>Violation Type</t>
  </si>
  <si>
    <t>Violation Count</t>
  </si>
  <si>
    <t>HTTP Parser Attack</t>
  </si>
  <si>
    <t>VIOL_COOKIE_RFC_NON_COMPLIANT</t>
  </si>
  <si>
    <t>Cookie not RFC compliant</t>
  </si>
  <si>
    <t>High</t>
  </si>
  <si>
    <t>Cookie header does not conform to RFC standards.</t>
  </si>
  <si>
    <t>10.1.218.227, 10.1.60.24, 10.184.77.11, 102.209.116.63, 144.24.249.196, 20.125.176.177, 3.125.176.171, 3.67.7.243, 41.220.77.56, 54.93.254.142, 102.88.18.71, 135.232.201.49, 172.235.181.217, 213.209.159.175, 3.67.7.209, 3.67.7.246, 172.184.209.154, 102.215.205.193, 54.93.254.169, 54.93.254.156, 213.209.159.154, 10.1.180.12, 10.1.180.14, 143.244.47.81, 159.223.211.139, 3.67.7.232, 4.246.63.149, 105.213.97.165, 172.234.162.31, 3.67.7.155, 3.67.7.235, 57.154.5.166, 3.124.123.217, 3.124.123.158, 139.162.173.209, 31.132.90.3, 45.148.10.238, 172.182.201.160, 45.89.60.182, 10.1.216.202, 18.194.95.89, 3.67.7.190, 34.26.231.215</t>
  </si>
  <si>
    <t>Input Violation</t>
  </si>
  <si>
    <t>Detection Evasion</t>
  </si>
  <si>
    <t>VIOL_EVASION</t>
  </si>
  <si>
    <t>Evasion Technique Detected</t>
  </si>
  <si>
    <t>Request used encoding, obfuscation, malformed data, or other techniques designed to bypass security inspection mechanisms.</t>
  </si>
  <si>
    <t>10.1.218.227, 10.1.60.24, 10.184.77.11, 102.209.116.63, 102.69.221.101, 102.69.221.103, 144.24.249.196, 20.125.176.177, 3.67.7.243, 41.220.77.56, 54.93.254.142, 102.88.18.71, 135.232.201.49, 141.0.13.62, 3.67.7.209, 3.67.7.246, 172.184.209.154, 102.215.205.193, 54.93.254.169, 54.93.254.156, 10.1.180.12, 105.113.69.24, 105.213.97.165, 3.67.7.232, 4.246.63.149, 102.69.221.102, 3.67.7.155, 3.67.7.235, 57.154.5.166, 3.124.123.158, 3.124.123.217, 172.182.201.160, 45.89.60.182, 10.1.216.202, 18.194.95.89, 3.67.7.190</t>
  </si>
  <si>
    <t>Information Leakage</t>
  </si>
  <si>
    <t>VIOL_INFORMATION_LEAKAGE</t>
  </si>
  <si>
    <t>Information Leakage Detected</t>
  </si>
  <si>
    <t>The application response exposed sensitive information such as server details, system paths, software versions, error messages, configuration data, or debugging information that could assist an attacker in reconnaissance or further exploitation attempts.</t>
  </si>
  <si>
    <t>10.1.218.227, 10.1.60.24, 10.184.77.11, 102.209.116.63, 102.69.221.101, 102.69.221.103, 144.24.249.196, 20.125.176.177, 3.67.7.243, 41.220.77.56, 54.93.254.142, 102.88.18.71, 135.232.201.49, 3.67.7.209, 3.67.7.246, 172.184.209.154, 54.93.254.156, 54.93.254.169, 207.161.41.15, 174.90.223.246, 10.1.180.12, 80.94.95.211, 105.213.97.165, 3.67.7.232, 34.12.142.52, 34.24.10.191, 34.26.109.145, 34.34.71.200, 4.246.63.149, 3.67.7.155, 3.67.7.235, 35.185.1.243, 57.154.5.166, 3.124.123.158, 3.124.123.217, 34.75.204.10, 172.182.201.160, 10.1.216.202, 45.89.60.182, 18.194.95.89, 3.67.7.190, 34.26.231.215, 5.59.249.116</t>
  </si>
  <si>
    <t>Forceful Browsing</t>
  </si>
  <si>
    <t>VIOL_URL</t>
  </si>
  <si>
    <t>Illegal URL Access Attempt</t>
  </si>
  <si>
    <t>Request attempted to access a URL or resource that is not defined or permitted by the security policy. This indicates a possible forced browsing attempt where an attacker is trying to discover or access hidden, restricted, or unauthorized application paths.</t>
  </si>
  <si>
    <t>10.1.218.227, 10.1.60.24, 10.184.77.11, 102.209.116.63, 110.35.80.116, 144.24.249.196, 145.249.109.110, 151.243.18.111, 20.125.176.177, 3.67.7.243, 41.220.77.56, 54.93.254.142, 83.97.78.224, 101.36.104.242, 102.88.18.71, 129.212.227.100, 135.232.201.49, 173.34.248.203, 185.254.197.231, 3.67.7.209, 3.67.7.246, 90.84.168.147, 99.247.37.14, 172.184.209.154, 54.93.254.169, 54.93.254.156, 102.215.205.193, 207.161.41.15, 174.90.223.246, 165.233.254.1, 213.209.159.154, 118.216.88.229, 47.77.182.54, 105.213.97.165, 144.225.6.182, 3.67.7.232, 31.132.90.3, 34.27.145.196, 34.34.71.200, 4.246.63.149, 8.208.44.152, 89.126.211.166, 10.1.180.12, 102.69.221.100, 102.69.221.101, 102.69.221.102, 102.69.221.103, 163.7.13.2, 172.234.162.31, 185.112.59.9, 3.67.7.155, 3.67.7.235, 57.154.5.166, 79.72.3.119, 3.124.123.158, 3.124.123.217, 102.88.111.166, 104.252.175.42, 192.255.134.240, 101.47.8.187, 172.182.201.160, 45.89.60.182, 10.1.216.202, 18.194.95.89, 3.67.7.190, 40.74.64.80, 82.197.66.108, 34.26.231.215</t>
  </si>
  <si>
    <t>Path Traversal</t>
  </si>
  <si>
    <t>10.1.218.227, 10.1.60.24, 10.184.77.11, 102.209.116.63, 102.69.221.101, 102.69.221.103, 110.35.80.116, 144.24.249.196, 20.125.176.177, 3.67.7.243, 41.220.77.56, 54.93.254.142, 83.97.78.224, 101.36.104.242, 102.88.18.71, 135.232.201.49, 185.254.197.231, 3.67.7.209, 3.67.7.246, 172.184.209.154, 102.215.205.193, 54.93.254.169, 54.93.254.156, 118.216.88.229, 105.213.97.165, 3.67.7.232, 4.246.63.149, 8.208.44.152, 89.126.211.166, 102.69.221.102, 3.67.7.155, 3.67.7.235, 57.154.5.166, 79.72.3.119, 3.124.123.158, 3.124.123.217, 192.255.134.240, 172.182.201.160, 45.89.60.182, 10.1.216.202, 18.194.95.89, 3.67.7.190, 82.197.66.108, 101.47.8.187</t>
  </si>
  <si>
    <t>Buffer Overflow</t>
  </si>
  <si>
    <t>Request attempted abnormal or unauthorized URL access patterns that may indicate probing for vulnerable resources or buffer exhaustion conditions.</t>
  </si>
  <si>
    <t>10.1.218.227, 10.1.60.24, 10.184.77.11, 102.209.116.63, 144.24.249.196, 20.125.176.177, 3.67.7.243, 41.220.77.56, 54.93.254.142, 102.88.18.71, 135.232.201.49, 173.34.248.203, 3.67.7.209, 3.67.7.246, 99.247.37.14, 172.184.209.154, 102.215.205.193, 54.93.254.169, 54.93.254.156, 207.161.41.15, 174.90.223.246, 105.213.97.165, 3.67.7.232, 4.246.63.149, 10.184.52.19, 3.67.7.155, 3.67.7.235, 57.154.5.166, 68.183.210.230, 3.124.123.217, 3.124.123.158, 172.182.201.160, 45.89.60.182, 10.1.216.202, 18.194.95.89, 3.67.7.190</t>
  </si>
  <si>
    <t>Cross Site Scripting (XSS)</t>
  </si>
  <si>
    <t>VIOL_SERVER_SIDE_CODE_INJECTION</t>
  </si>
  <si>
    <t>Server-Side Code Injection Attempt</t>
  </si>
  <si>
    <t>Request contained patterns indicating execution of server-side code (e.g., command injection / code execution attempt).</t>
  </si>
  <si>
    <t>10.1.218.227, 10.1.60.24, 10.184.77.11, 102.209.116.63, 102.69.221.101, 102.69.221.103, 144.24.249.196, 20.125.176.177, 3.67.7.243, 41.220.77.56, 54.93.254.142, 102.88.18.71, 135.232.201.49, 3.67.7.209, 3.67.7.246, 172.184.209.154, 102.215.205.193, 54.93.254.156, 54.93.254.169, 105.213.97.165, 3.67.7.232, 4.246.63.149, 3.67.7.155, 3.67.7.235, 57.154.5.166, 3.124.123.217, 3.124.123.158, 172.182.201.160, 45.89.60.182, 10.1.216.202, 18.194.95.89, 3.67.7.190, 34.75.204.10</t>
  </si>
  <si>
    <t>Server Side Code Injection</t>
  </si>
  <si>
    <t>10.1.218.227, 10.1.60.24, 10.184.77.11, 102.209.116.63, 102.69.221.101, 102.69.221.103, 144.24.249.196, 153.54.31.28, 20.125.176.177, 3.67.7.243, 41.220.77.56, 54.93.254.142, 135.232.201.49, 3.67.7.209, 3.67.7.246, 172.184.209.154, 102.215.205.193, 54.93.254.169, 54.93.254.156, 110.35.80.116, 3.67.7.232, 4.246.63.149, 105.213.97.165, 3.67.7.155, 3.67.7.235, 57.154.5.166, 79.72.3.119, 3.124.123.158, 3.124.123.217, 102.88.18.71, 104.252.175.42, 172.182.201.160, 45.89.60.182, 10.1.216.202, 18.194.95.89, 3.67.7.190, 34.75.204.10</t>
  </si>
  <si>
    <t xml:space="preserve"> </t>
  </si>
  <si>
    <t>JSON Parser Attack</t>
  </si>
  <si>
    <t>VIOL_JSON_PARSER_ATTACK</t>
  </si>
  <si>
    <t>JSON Parser Attack Detected</t>
  </si>
  <si>
    <t>Request contained malformed or malicious JSON intended to exploit parser vulnerabilities or disrupt application processing.</t>
  </si>
  <si>
    <t>102.209.116.63, 102.69.221.101, 20.125.176.177, 135.232.201.49, 10.1.180.12, 4.246.63.149, 144.24.249.196, 57.154.5.166, 172.182.201.160, 45.89.60.182</t>
  </si>
  <si>
    <t>Injection Attempt</t>
  </si>
  <si>
    <t>VIOL_ATTACK_SIGNATURE_DETECTED</t>
  </si>
  <si>
    <t>Attack Signature Detected</t>
  </si>
  <si>
    <t>Request contained patterns matching known attack signatures associated with injection attempts, such as SQL injection, command injection, or malicious payload execution.</t>
  </si>
  <si>
    <t>10.1.218.227, 10.1.60.24, 10.184.77.11, 102.209.116.63, 144.24.249.196, 20.125.176.177, 3.67.7.243, 41.220.77.56, 54.93.254.142, 102.88.18.71, 135.232.201.49, 172.235.181.217, 3.67.7.209, 3.67.7.246, 172.184.209.154, 54.93.254.156, 102.215.205.193, 54.93.254.169, 143.244.47.81, 159.223.211.139, 3.67.7.232, 4.246.63.149, 105.213.97.165, 3.67.7.155, 3.67.7.235, 57.154.5.166, 3.124.123.158, 3.124.123.217, 139.162.173.209, 45.148.10.238, 172.182.201.160, 45.89.60.182, 10.1.216.202, 18.194.95.89, 3.67.7.190</t>
  </si>
  <si>
    <t>Abuse of Functionality</t>
  </si>
  <si>
    <t>VIOL_ABUSE_OF_FUNCTIONALITY</t>
  </si>
  <si>
    <t>Application Functionality Abuse Attempt</t>
  </si>
  <si>
    <t>Request indicated misuse of legitimate application functionality in a manner that could bypass intended business logic or application controls.</t>
  </si>
  <si>
    <t>10.1.218.227, 10.1.60.24, 102.209.116.63, 102.69.221.101, 144.24.249.196, 20.125.176.177, 3.67.7.243, 41.220.77.56, 54.93.254.142, 102.88.18.71, 135.232.201.49, 185.254.197.231, 3.67.7.209, 3.67.7.246, 172.184.209.154, 102.215.205.193, 54.93.254.169, 54.93.254.156, 10.184.77.11, 105.213.97.165, 110.35.80.116, 3.67.7.232, 4.246.63.149, 102.69.221.103, 3.67.7.155, 3.67.7.235, 57.154.5.166, 79.72.3.119, 3.124.123.158, 3.124.123.217, 104.252.175.42, 172.182.201.160, 45.89.60.182, 10.1.216.202, 18.194.95.89, 3.67.7.190</t>
  </si>
  <si>
    <t>Predictable Resource Location</t>
  </si>
  <si>
    <t>Request attempted to access a predictable or hidden resource location (e.g., administrative pages, backup files, or restricted directories) that is not allowed by the security policy.</t>
  </si>
  <si>
    <t>10.1.218.227, 10.1.60.24, 10.184.77.11, 102.209.116.63, 102.69.221.101, 102.69.221.103, 144.24.249.196, 151.243.18.111, 20.125.176.177, 3.67.7.243, 41.220.77.56, 54.93.254.142, 135.232.201.49, 3.67.7.209, 3.67.7.246, 172.184.209.154, 102.215.205.193, 54.93.254.169, 54.93.254.156, 105.213.97.165, 3.67.7.232, 34.12.142.52, 4.246.63.149, 102.69.221.102, 163.7.13.2, 3.67.7.155, 3.67.7.235, 57.154.5.166, 3.124.123.158, 3.124.123.217, 102.88.18.71, 172.182.201.160, 45.89.60.182, 10.1.216.202, 18.194.95.89, 3.67.7.190</t>
  </si>
  <si>
    <t>SQL-Injection</t>
  </si>
  <si>
    <t>VIOL_SQL_INJECTION</t>
  </si>
  <si>
    <t>SQL Injection Attempt</t>
  </si>
  <si>
    <t>Request contained SQL syntax or payloads indicative of an attempt to manipulate backend database queries and gain unauthorized access to data.</t>
  </si>
  <si>
    <t>10.1.218.227, 10.1.60.24, 102.209.116.63, 102.69.221.101, 144.24.249.196, 153.54.31.28, 20.125.176.177, 102.88.18.71, 135.232.201.49, 41.220.77.56, 172.184.209.154, 102.215.205.193, 10.184.77.11, 105.213.97.165, 4.246.63.149, 57.154.5.166, 172.182.201.160, 45.89.60.182, 10.1.216.202</t>
  </si>
  <si>
    <t>Other Application Attacks</t>
  </si>
  <si>
    <t>Server-Side Request Forgery Attempt</t>
  </si>
  <si>
    <t>Request attempted to manipulate server-side functionality to make unauthorized requests to internal or external resources.</t>
  </si>
  <si>
    <t>10.1.218.227, 10.1.60.24, 102.209.116.63, 144.24.249.196, 20.125.176.177, 3.67.7.243, 54.93.254.142, 10.184.77.11, 102.88.18.71, 135.232.201.49, 3.67.7.209, 3.67.7.246, 172.184.209.154, 102.215.205.193, 54.93.254.169, 54.93.254.156, 105.213.97.165, 3.67.7.232, 4.246.63.149, 3.67.7.155, 3.67.7.235, 57.154.5.166, 3.124.123.158, 3.124.123.217, 172.182.201.160, 45.89.60.182, 18.194.95.89, 3.67.7.190</t>
  </si>
  <si>
    <t>Non-browser Client</t>
  </si>
  <si>
    <t>VIOL_NON_BROWSER_CLIENT</t>
  </si>
  <si>
    <t>Non-Browser Client Access</t>
  </si>
  <si>
    <t>Request originated from a non-browser client or automated tool that may indicate scripted activity or automated interaction with the application.</t>
  </si>
  <si>
    <t>10.1.60.24, 102.209.116.63, 144.24.249.196, 20.125.176.177, 3.67.7.243, 41.220.77.56, 135.232.201.49, 172.235.181.217, 3.67.7.246, 54.93.254.156, 54.93.254.169, 10.184.77.11, 143.244.47.81, 3.67.7.232, 4.246.63.149, 3.67.7.155, 57.154.5.166, 10.1.218.227, 3.124.123.158, 3.124.123.217, 139.162.173.209, 172.182.201.160, 45.89.60.182, 10.1.216.202, 3.67.7.190, 18.194.95.89, 34.26.231.215</t>
  </si>
  <si>
    <t>Trojan/Backdoor/Spyware</t>
  </si>
  <si>
    <t>VIOL_TROJAN_BACKDOOR_SPYWARE</t>
  </si>
  <si>
    <t>Malware Distribution Attempt</t>
  </si>
  <si>
    <t>Request contained indicators associated with trojans, backdoors, spyware, or other malicious software intended for delivery or execution.</t>
  </si>
  <si>
    <t>10.1.60.24, 102.209.116.63, 144.24.249.196, 20.125.176.177, 102.88.18.71, 135.232.201.49, 41.220.77.56, 172.184.209.154, 10.184.77.11, 4.246.63.149, 10.1.218.227, 105.213.97.165, 57.154.5.166, 172.182.201.160, 45.89.60.182</t>
  </si>
  <si>
    <t>Authentication/Authorization Attacks</t>
  </si>
  <si>
    <t>VIOL_AUTHORIZATION_ATTACK, VIOL_AUTHENTICATION_ATTACK</t>
  </si>
  <si>
    <t>Authentication or Authorization Attack</t>
  </si>
  <si>
    <t>Request attempted to bypass, manipulate, or abuse authentication or authorization mechanisms to gain unauthorized access to protected resources.</t>
  </si>
  <si>
    <t>10.1.218.227, 10.184.77.11, 102.209.116.63, 102.69.221.101, 144.24.249.196, 20.125.176.177, 10.1.60.24, 102.88.18.71, 135.232.201.49, 41.220.77.56, 172.184.209.154, 4.246.63.149, 105.213.97.165, 57.154.5.166, 172.182.201.160, 45.89.60.182, 5.59.249.116</t>
  </si>
  <si>
    <t>Command Execution</t>
  </si>
  <si>
    <t>VIOL_PARAMETER_VALUE</t>
  </si>
  <si>
    <t>Illegal Parameter Value</t>
  </si>
  <si>
    <t>Request contained modified or manipulated parameter values that violate expected application behavior or security policy.</t>
  </si>
  <si>
    <t>10.1.218.227, 10.1.60.24, 102.209.116.63, 144.24.249.196, 20.125.176.177, 3.67.7.243, 41.220.77.56, 135.232.201.49, 3.67.7.209, 3.67.7.246, 172.184.209.154, 102.215.205.193, 54.93.254.156, 54.93.254.169, 10.184.77.11, 110.35.80.116, 3.67.7.232, 34.12.142.52, 4.246.63.149, 105.213.97.165, 3.67.7.155, 3.67.7.235, 57.154.5.166, 79.72.3.119, 3.124.123.217, 3.124.123.158, 104.252.175.42, 172.182.201.160, 45.89.60.182, 10.1.216.202, 18.194.95.89, 3.67.7.190</t>
  </si>
  <si>
    <t>XML Parser Attack</t>
  </si>
  <si>
    <t>VIOL_XML_PARSER_ATTACK</t>
  </si>
  <si>
    <t>XML Parser Attack Detected</t>
  </si>
  <si>
    <t>Request contained malicious XML content intended to exploit XML parser vulnerabilities, including XML External Entity (XXE) or parser manipulation attacks.</t>
  </si>
  <si>
    <t>102.209.116.63, 102.69.221.101, 144.24.249.196, 20.125.176.177, 135.232.201.49, 41.220.77.56, 102.215.205.193, 10.184.77.11, 105.213.97.165, 3.67.7.232, 4.246.63.149, 10.1.60.24, 3.67.7.235, 57.154.5.166, 10.1.218.227, 3.124.123.158, 172.182.201.160, 45.89.60.182, 10.1.216.202</t>
  </si>
  <si>
    <t>Remote File Include</t>
  </si>
  <si>
    <t>VIOL_REMOTE_FILE_INCLUDE</t>
  </si>
  <si>
    <t>Remote File Inclusion Attempt</t>
  </si>
  <si>
    <t>Request attempted to load or execute a remote file or resource, potentially leading to remote code execution or unauthorized content inclusion.</t>
  </si>
  <si>
    <t>10.1.218.227, 102.209.116.63, 102.69.221.101, 144.24.249.196, 20.125.176.177, 10.1.60.24, 102.88.18.71, 135.232.201.49, 41.220.77.56, 172.184.209.154, 102.215.205.193, 54.93.254.156, 10.184.77.11, 110.35.80.116, 3.67.7.232, 4.246.63.149, 105.213.97.165, 57.154.5.166, 79.72.3.119, 104.252.175.42, 172.182.201.160, 45.89.60.182</t>
  </si>
  <si>
    <t>Vulnerability Scan</t>
  </si>
  <si>
    <t>10.1.60.24, 102.69.221.101, 153.54.31.28, 20.125.176.177, 3.67.7.243, 41.220.77.56, 54.93.254.142, 135.232.201.49, 3.67.7.209, 3.67.7.246, 54.93.254.169, 54.93.254.156, 10.184.77.11, 3.67.7.232, 3.67.7.155, 3.67.7.235, 57.154.5.166, 10.1.218.227, 3.124.123.158, 3.124.123.217, 172.182.201.160, 45.89.60.182, 10.1.216.202, 18.194.95.89, 3.67.7.190</t>
  </si>
  <si>
    <t>Denial of Service</t>
  </si>
  <si>
    <t>Request attempted to access a URL not defined in the security policy, indicating possible forced browsing or resource exhaustion attempt.</t>
  </si>
  <si>
    <t>10.1.218.227, 10.184.77.11, 144.24.249.196, 20.125.176.177, 41.220.77.56, 135.232.201.49, 54.93.254.169, 54.93.254.156, 3.67.7.232, 4.246.63.149, 10.1.60.24, 3.67.7.155, 57.154.5.166, 102.88.18.71, 172.182.201.160, 10.1.216.202, 45.89.60.182, 18.194.95.89</t>
  </si>
  <si>
    <t>Server-Side Request Forgery (SSRF)</t>
  </si>
  <si>
    <t>VIOL_SERVER_SIDE_REQUEST_FORGERY</t>
  </si>
  <si>
    <t>Request attempted to induce the server to make unauthorized requests to internal or external resources on behalf of the attacker.</t>
  </si>
  <si>
    <t>10.1.218.227, 10.1.60.24, 102.209.116.63, 20.125.176.177, 41.220.77.56, 135.232.201.49, 144.24.249.196, 213.209.159.175, 3.67.7.209, 3.67.7.246, 172.184.209.154, 213.209.159.154, 10.184.77.11, 3.67.7.232, 172.234.162.31, 57.154.5.166, 31.132.90.3, 172.182.201.160, 45.89.60.182, 3.67.7.190, 18.194.95.89</t>
  </si>
  <si>
    <t>HTTP Response Splitting</t>
  </si>
  <si>
    <t>VIOL_HTTP_RESPONSE_SPLITTING</t>
  </si>
  <si>
    <t>HTTP Response Splitting Attempt</t>
  </si>
  <si>
    <t>Request attempted to inject carriage return and line feed (CRLF) characters to manipulate HTTP response headers or facilitate web cache poisoning.</t>
  </si>
  <si>
    <t>10.1.218.227, 144.24.249.196, 20.125.176.177, 102.209.116.63, 102.88.18.71, 135.232.201.49, 172.184.209.154, 10.184.77.11, 4.246.63.149, 57.154.5.166, 68.183.210.230, 172.182.201.160, 45.89.60.182, 105.213.97.165</t>
  </si>
  <si>
    <t>Malicious File Upload</t>
  </si>
  <si>
    <t>VIOL_MALICIOUS_FILE_UPLOAD</t>
  </si>
  <si>
    <t>Malicious File Upload Attempt</t>
  </si>
  <si>
    <t>Request attempted to upload a file containing malicious content, executable code, or file types that could compromise the application or server.</t>
  </si>
  <si>
    <t>144.24.249.196, 20.125.176.177, 135.232.201.49, 172.184.209.154, 102.215.205.193, 4.246.63.149, 105.213.97.165, 57.154.5.166, 172.182.201.160</t>
  </si>
  <si>
    <t>LDAP Injection</t>
  </si>
  <si>
    <t>VIOL_LDAP_INJECTION</t>
  </si>
  <si>
    <t>LDAP Injection Attempt</t>
  </si>
  <si>
    <t>Request contained LDAP query manipulation patterns that could alter directory service queries or bypass authentication controls.</t>
  </si>
  <si>
    <t>10.1.218.227, 102.69.221.101, 144.24.249.196, 20.125.176.177, 102.88.18.71, 10.184.77.11, 57.154.5.166, 172.182.201.160</t>
  </si>
  <si>
    <t>Session Hijacking</t>
  </si>
  <si>
    <t>VIOL_SESSION_HIJACKING</t>
  </si>
  <si>
    <t>Session Hijacking Attempt</t>
  </si>
  <si>
    <t>Request exhibited characteristics consistent with an attempt to steal, reuse, or manipulate session identifiers to impersonate a legitimate user.</t>
  </si>
  <si>
    <t>10.1.218.227, 10.184.77.11, 144.24.249.196, 102.88.18.71</t>
  </si>
  <si>
    <t>Parameter Tampering</t>
  </si>
  <si>
    <t>VIOL_PARAMETER_TAMPERING</t>
  </si>
  <si>
    <t>Parameter Tampering Attempt</t>
  </si>
  <si>
    <t>Request contained modified or unexpected parameter values indicating an attempt to manipulate application logic or bypass input validation.</t>
  </si>
  <si>
    <t>10.1.60.24, 20.125.176.177, 102.209.116.63, 102.88.18.71, 135.232.201.49, 185.254.197.231, 41.220.77.56, 4.246.63.149, 57.154.5.166, 45.89.60.182</t>
  </si>
  <si>
    <t>Cross-site Request Forgery</t>
  </si>
  <si>
    <t>VIOL_CROSS_SITE_REQUEST_FORGERY</t>
  </si>
  <si>
    <t>Cross-Site Request Forgery (CSRF) Attempt</t>
  </si>
  <si>
    <t>Request exhibited characteristics of a Cross-Site Request Forgery attack, attempting to trick an authenticated user into performing unintended actions without their consent.</t>
  </si>
  <si>
    <t>10.1.60.24</t>
  </si>
  <si>
    <t>Other Application Activity</t>
  </si>
  <si>
    <t>VIOL_OTHER_APPLICATION_ACTIVITY</t>
  </si>
  <si>
    <t>Suspicious Application Activity</t>
  </si>
  <si>
    <t>Request exhibited unusual application behavior or patterns that did not match a specific attack category but warranted further inspection.</t>
  </si>
  <si>
    <t>20.125.176.177, 135.232.201.49, 144.24.249.196, 173.34.248.203, 99.247.37.14, 207.161.41.15, 174.90.223.246, 57.154.5.166, 172.182.201.160</t>
  </si>
  <si>
    <t>TOTAL</t>
  </si>
  <si>
    <t>10.1.218.227, 10.1.60.24, 102.88.108.165, 102.88.109.183, 102.88.112.162, 102.88.113.102, 102.88.113.243, 102.88.114.145, 102.89.44.92, 102.89.46.177, 102.89.46.218, 102.89.47.147, 102.89.68.75, 102.89.69.243, 102.89.82.92, 102.91.102.229, 102.91.30.218, 102.91.72.128, 102.91.77.116, 102.91.77.184, 102.91.77.218, 102.91.77.35, 102.91.93.17, 102.92.24.61, 105.213.97.165, 172.16.106.27, 197.210.29.204, 197.210.54.80, 197.211.52.77, 102.88.111.37, 102.88.113.142, 102.88.113.73, 102.88.115.72, 102.89.22.103, 102.89.41.23, 102.89.43.151, 102.89.69.55, 102.89.85.223, 102.90.100.102, 102.90.45.103, 102.91.104.58, 102.91.77.58, 144.24.249.196, 146.70.41.67, 197.210.227.161, 197.211.59.98, 216.234.213.192, 102.89.76.90, 197.210.70.76, 102.89.45.202, 102.91.104.180, 102.89.69.247, 102.89.44.22, 102.88.113.241, 102.93.10.134, 102.88.113.145, 102.88.108.104, 102.91.103.228, 102.88.109.209, 102.89.69.250, 102.88.54.128, 197.210.54.71, 102.89.47.105, 102.88.109.70, 102.88.113.199, 102.88.113.7, 102.89.68.110, 102.89.85.100, 102.90.101.167, 102.91.102.109, 102.91.105.36, 102.91.135.154, 102.91.93.213, 105.112.203.175, 197.210.28.136, 197.210.28.7, 102.88.110.193, 102.88.111.238, 102.88.114.31, 102.88.166.73, 102.89.44.52, 102.89.46.143, 102.89.46.180, 102.89.82.155, 102.89.82.66, 102.89.83.110, 102.91.103.16, 102.91.103.45, 102.91.77.151, 102.91.78.178, 102.91.92.252, 102.91.96.148, 102.93.10.112, 154.161.186.43, 102.89.83.29, 102.91.132.250, 102.89.46.51, 45.89.60.182, 102.89.75.189, 102.89.68.197, 102.88.169.129, 102.91.102.164, 102.89.68.120, 102.91.104.238, 154.161.148.89, 102.90.123.86, 102.88.109.221, 102.88.114.20, 102.89.41.103</t>
  </si>
  <si>
    <t>10.1.218.227, 10.1.60.24, 105.213.97.165, 172.16.106.27, 144.24.249.196, 45.89.60.182</t>
  </si>
  <si>
    <t>10.1.218.227, 105.213.97.165, 172.16.106.27, 144.24.249.196, 45.89.60.182</t>
  </si>
  <si>
    <t>10.1.218.227, 172.16.106.27, 144.24.249.196, 105.213.97.165, 45.89.60.182</t>
  </si>
  <si>
    <t>10.1.218.227, 172.16.106.27, 144.24.249.196, 45.89.60.182, 105.213.97.165</t>
  </si>
  <si>
    <t>10.1.218.227, 144.24.249.196</t>
  </si>
  <si>
    <t>10.1.218.227, 105.213.97.165, 144.24.249.196</t>
  </si>
  <si>
    <t>102.88.108.165, 102.88.114.145, 102.89.82.92, 172.16.106.27, 197.211.52.77, 102.88.109.183, 102.88.113.73, 102.88.115.72, 102.89.69.55, 144.24.249.196, 102.93.10.134, 102.89.69.250, 10.1.218.227, 102.89.83.110, 45.89.60.182, 102.89.68.197, 102.91.102.164, 102.89.68.120, 102.88.109.221</t>
  </si>
  <si>
    <t>10.1.218.227, 105.213.97.165, 144.24.249.196, 102.88.113.142, 102.89.85.100, 45.89.60.182</t>
  </si>
  <si>
    <t>10.1.218.227, 10.1.60.24, 144.24.249.196, 45.89.60.182</t>
  </si>
  <si>
    <t>10.1.218.227</t>
  </si>
  <si>
    <t>10.1.60.24, 172.16.106.27, 10.1.218.227</t>
  </si>
  <si>
    <t>144.24.249.196</t>
  </si>
  <si>
    <t>105.213.97.165, 10.1.218.227</t>
  </si>
  <si>
    <t>10.1.60.24, 10.1.218.227</t>
  </si>
  <si>
    <t>10.1.60.24, 105.213.97.165, 45.89.60.182</t>
  </si>
  <si>
    <t>10.1.218.227, 10.1.60.24, 105.213.97.165, 144.24.249.196, 185.190.142.132, 20.125.176.177, 3.125.176.171, 3.67.7.243, 41.220.77.56, 80.94.95.211, 102.89.83.7, 135.232.201.49, 143.110.251.6, 172.16.106.27, 3.67.7.209, 3.67.7.246, 43.110.38.5, 102.215.205.193, 54.93.254.156, 54.93.254.169, 34.75.96.177, 213.209.159.175, 213.209.159.154, 89.126.211.166, 118.216.88.229, 98.85.225.159, 223.123.92.132, 101.36.104.242, 18.232.121.80, 101.47.8.187, 154.26.157.92, 3.67.7.232, 110.35.80.116, 114.55.248.231, 147.139.178.214, 161.97.138.152, 172.104.241.92, 3.67.7.155, 3.67.7.235, 43.155.172.154, 57.154.5.166, 3.124.123.158, 3.124.123.217, 45.148.10.238, 172.235.173.150, 185.177.72.12, 175.119.225.92, 103.97.91.81, 197.210.3.222, 172.182.201.160, 18.194.95.89, 3.67.7.190, 115.248.8.65, 31.132.90.3, 23.95.218.187, 149.88.30.60</t>
  </si>
  <si>
    <t>10.1.218.227, 10.1.60.24, 105.213.97.165, 144.24.249.196, 185.190.142.132, 20.125.176.177, 3.67.7.243, 31.70.84.142, 41.220.77.56, 102.89.83.7, 135.232.201.49, 172.16.106.27, 3.67.7.209, 3.67.7.246, 43.110.38.5, 102.215.205.193, 54.93.254.156, 54.93.254.169, 34.75.96.177, 223.85.251.61, 101.36.104.242, 118.216.88.229, 98.85.225.159, 90.84.168.147, 3.67.7.232, 107.173.241.217, 110.35.80.116, 114.55.248.231, 209.99.185.239, 3.67.7.155, 3.67.7.235, 31.132.90.3, 57.154.5.166, 3.124.123.217, 3.124.123.158, 101.47.8.187, 175.119.225.92, 103.97.91.81, 197.210.3.222, 172.182.201.160, 18.194.95.89, 107.150.31.173, 3.67.7.190, 115.248.8.65</t>
  </si>
  <si>
    <t>10.1.218.227, 10.1.60.24, 105.213.97.165, 144.24.249.196, 20.125.176.177, 3.67.7.243, 41.220.77.56, 135.232.201.49, 172.16.106.27, 3.67.7.209, 3.67.7.246, 102.215.205.193, 34.75.96.177, 54.93.254.169, 54.93.254.156, 51.15.222.160, 98.85.225.159, 3.67.7.232, 172.104.241.92, 172.30.145.10, 172.30.145.9, 3.67.7.155, 3.67.7.235, 57.154.5.166, 3.124.123.217, 3.124.123.158, 103.97.91.81, 197.210.3.222, 172.182.201.160, 107.150.31.173, 18.194.95.89, 3.67.7.190</t>
  </si>
  <si>
    <t>10.1.218.227, 10.1.60.24, 105.213.97.165, 144.24.249.196, 20.125.176.177, 3.67.7.243, 41.220.77.56, 102.89.83.7, 135.232.201.49, 172.16.106.27, 3.67.7.209, 3.67.7.246, 102.215.205.193, 34.75.96.177, 54.93.254.169, 54.93.254.156, 3.67.7.232, 3.67.7.155, 3.67.7.235, 57.154.5.166, 3.124.123.217, 3.124.123.158, 45.148.10.238, 103.97.91.81, 197.210.3.222, 172.182.201.160, 18.194.95.89, 3.67.7.190, 172.104.241.92</t>
  </si>
  <si>
    <t>10.1.218.227, 10.1.60.24, 105.213.97.165, 144.24.249.196, 20.125.176.177, 3.67.7.243, 41.220.77.56, 102.89.83.7, 135.232.201.49, 172.16.106.27, 3.67.7.209, 3.67.7.246, 102.215.205.193, 34.75.96.177, 54.93.254.169, 54.93.254.156, 133.18.143.135, 3.67.7.232, 161.97.138.152, 172.30.145.10, 172.30.145.9, 3.67.7.155, 3.67.7.235, 57.154.5.166, 3.124.123.217, 3.124.123.158, 103.97.91.81, 197.210.3.222, 172.182.201.160, 3.67.7.190, 18.194.95.89</t>
  </si>
  <si>
    <t>10.1.218.227, 10.1.60.24, 105.213.97.165, 144.24.249.196, 20.125.176.177, 3.67.7.243, 41.220.77.56, 102.89.83.7, 135.232.201.49, 172.16.106.27, 3.67.7.209, 3.67.7.246, 102.215.205.193, 54.93.254.156, 34.75.96.177, 54.93.254.169, 51.15.222.160, 89.126.211.166, 223.123.92.132, 133.18.143.135, 47.85.8.171, 101.47.8.187, 3.67.7.232, 107.173.241.217, 110.35.80.116, 3.67.7.155, 3.67.7.235, 43.110.38.5, 57.154.5.166, 3.124.123.217, 3.124.123.158, 103.97.91.81, 197.210.3.222, 172.182.201.160, 18.194.95.89, 3.67.7.190, 31.132.90.3</t>
  </si>
  <si>
    <t>10.1.218.227, 10.1.60.24, 105.213.97.165, 144.24.249.196, 20.125.176.177, 3.67.7.243, 41.220.77.56, 102.89.83.7, 135.232.201.49, 172.16.106.27, 3.67.7.209, 3.67.7.246, 102.215.205.193, 34.75.96.177, 54.93.254.169, 54.93.254.156, 3.67.7.232, 3.67.7.155, 3.67.7.235, 57.154.5.166, 3.124.123.217, 3.124.123.158, 197.210.3.222, 172.182.201.160, 103.97.91.81, 107.150.31.173, 3.67.7.190, 18.194.95.89</t>
  </si>
  <si>
    <t>10.1.218.227, 10.1.60.24, 105.213.97.165, 144.24.249.196, 20.125.176.177, 3.67.7.243, 41.220.77.56, 80.94.95.211, 135.232.201.49, 143.110.251.6, 172.16.106.27, 3.67.7.209, 3.67.7.246, 43.110.38.5, 102.215.205.193, 54.93.254.169, 34.75.96.177, 54.93.254.156, 51.15.222.160, 213.209.159.154, 89.126.211.166, 213.209.159.175, 98.85.225.159, 18.232.121.80, 185.177.72.66, 3.67.7.232, 102.69.221.101, 147.139.178.214, 172.104.241.92, 3.67.7.155, 3.67.7.235, 57.154.5.166, 3.124.123.217, 3.124.123.158, 185.177.72.12, 103.97.91.81, 197.210.3.222, 172.182.201.160, 18.194.95.89, 3.67.7.190</t>
  </si>
  <si>
    <t>10.1.60.24, 105.213.97.165, 144.24.249.196, 20.125.176.177, 41.220.77.56, 102.89.83.7, 135.232.201.49, 172.16.106.27, 102.215.205.193, 34.75.96.177, 10.1.218.227, 57.154.5.166, 193.233.89.249, 103.97.91.81, 197.210.3.222, 172.182.201.160</t>
  </si>
  <si>
    <t>10.1.218.227, 10.1.60.24, 105.213.97.165, 144.24.249.196, 172.31.14.199, 20.125.176.177, 3.67.7.243, 41.220.77.56, 80.94.95.211, 102.89.83.7, 135.232.201.49, 172.16.106.27, 3.67.7.209, 3.67.7.246, 34.75.96.177, 54.93.254.169, 54.93.254.156, 213.209.159.154, 213.209.159.175, 98.85.225.159, 185.177.72.66, 3.67.7.232, 172.104.241.92, 172.30.145.10, 172.30.145.9, 3.67.7.155, 3.67.7.235, 57.154.5.166, 3.124.123.217, 3.124.123.158, 103.97.91.81, 197.210.3.222, 172.182.201.160, 18.194.95.89, 3.67.7.190</t>
  </si>
  <si>
    <t>10.1.60.24, 105.213.97.165, 144.24.249.196, 20.125.176.177, 3.67.7.243, 41.220.77.56, 135.232.201.49, 172.16.106.27, 3.67.7.246, 102.215.205.193, 34.75.96.177, 54.93.254.156, 89.126.211.166, 98.85.225.159, 47.85.8.171, 154.26.157.92, 3.67.7.232, 10.1.218.227, 161.97.138.152, 43.110.38.5, 57.154.5.166, 3.124.123.158, 197.210.3.222, 172.182.201.160, 103.97.91.81, 107.150.31.173</t>
  </si>
  <si>
    <t>10.1.218.227, 10.1.60.24, 105.213.97.165, 144.24.249.196, 185.190.142.132, 20.125.176.177, 3.67.7.243, 41.220.77.56, 102.89.83.7, 135.232.201.49, 172.16.106.27, 3.67.7.209, 3.67.7.246, 102.215.205.193, 34.75.96.177, 54.93.254.169, 54.93.254.156, 51.15.222.160, 89.126.211.166, 223.123.92.132, 47.85.8.171, 101.47.8.187, 18.232.121.80, 185.177.72.66, 3.67.7.232, 110.35.80.116, 172.104.241.92, 3.67.7.155, 3.67.7.235, 43.110.38.5, 43.155.172.154, 57.154.5.166, 3.124.123.217, 3.124.123.158, 185.177.72.12, 175.119.225.92, 103.97.91.81, 197.210.3.222, 172.182.201.160, 107.150.31.173, 18.194.95.89, 3.67.7.190, 115.248.8.65</t>
  </si>
  <si>
    <t>10.1.218.227, 10.1.60.24, 144.24.249.196, 20.125.176.177, 3.67.7.243, 41.220.77.56, 102.89.83.7, 135.232.201.49, 3.67.7.209, 3.67.7.246, 102.215.205.193, 34.75.96.177, 54.93.254.169, 54.93.254.156, 89.126.211.166, 223.123.92.132, 133.18.143.135, 47.85.8.171, 101.47.8.187, 105.213.97.165, 3.67.7.232, 107.173.241.217, 110.35.80.116, 172.30.145.9, 3.67.7.155, 3.67.7.235, 43.110.38.5, 57.154.5.166, 3.124.123.217, 3.124.123.158, 45.128.146.183, 103.97.91.81, 197.210.3.222, 172.182.201.160, 3.67.7.190, 18.194.95.89, 31.132.90.3</t>
  </si>
  <si>
    <t>10.1.60.24, 144.24.249.196, 20.125.176.177, 3.67.7.243, 41.220.77.56, 135.232.201.49, 172.16.106.27, 54.93.254.156, 34.75.96.177, 105.213.97.165, 3.67.7.232, 10.1.218.227, 57.154.5.166, 3.124.123.217, 197.210.3.222, 172.182.201.160</t>
  </si>
  <si>
    <t>10.1.60.24, 144.24.249.196, 20.125.176.177, 41.220.77.56, 135.232.201.49, 34.75.96.177, 105.213.97.165, 147.139.178.214, 57.154.5.166, 103.97.91.81, 197.210.3.222, 172.182.201.160</t>
  </si>
  <si>
    <t>10.1.60.24, 144.24.249.196, 20.125.176.177, 41.220.77.56, 135.232.201.49, 105.213.97.165, 57.154.5.166, 103.97.91.81, 197.210.3.222, 172.182.201.160</t>
  </si>
  <si>
    <t>10.1.60.24, 144.24.249.196, 20.125.176.177, 41.220.77.56, 135.232.201.49, 172.16.106.27, 34.75.96.177, 10.1.218.227, 105.213.97.165, 5.59.249.116, 57.154.5.166, 197.210.3.222, 172.182.201.160, 103.97.91.81</t>
  </si>
  <si>
    <t>10.1.218.227, 10.1.60.24, 3.67.7.243, 41.220.77.56, 102.89.83.7, 135.232.201.49, 144.24.249.196, 172.16.106.27, 3.67.7.209, 3.67.7.246, 54.93.254.156, 54.93.254.169, 98.85.225.159, 3.67.7.232, 3.67.7.155, 3.67.7.235, 57.154.5.166, 3.124.123.217, 3.124.123.158, 103.97.91.81, 197.210.3.222, 172.182.201.160, 3.67.7.190, 18.194.95.89, 172.104.241.92</t>
  </si>
  <si>
    <t>10.1.218.227, 10.1.60.24, 105.213.97.165, 20.125.176.177, 3.67.7.243, 41.220.77.56, 80.94.95.211, 135.232.201.49, 144.24.249.196, 172.16.106.27, 3.67.7.209, 3.67.7.246, 54.93.254.156, 54.93.254.169, 213.209.159.154, 213.209.159.175, 185.177.72.66, 3.67.7.232, 172.104.241.92, 3.67.7.155, 3.67.7.235, 57.154.5.166, 3.124.123.158, 3.124.123.217, 185.177.72.12, 103.97.91.81, 197.210.3.222, 172.182.201.160, 107.150.31.173, 18.194.95.89, 3.67.7.190, 23.95.218.187, 149.88.30.60</t>
  </si>
  <si>
    <t>10.1.218.227, 10.1.60.24, 20.125.176.177, 3.67.7.243, 41.220.77.56, 135.232.201.49, 172.16.106.27, 172.235.181.217, 3.67.7.209, 3.67.7.246, 54.93.254.156, 54.93.254.169, 105.213.97.165, 3.67.7.232, 147.139.178.214, 172.104.241.92, 3.67.7.155, 3.67.7.235, 57.154.5.166, 3.124.123.158, 3.124.123.217, 172.235.173.150, 103.97.91.81, 197.210.3.222, 172.182.201.160, 18.194.95.89, 3.67.7.190</t>
  </si>
  <si>
    <t>10.1.218.227, 10.1.60.24, 105.213.97.165, 185.190.142.132, 20.125.176.177, 3.67.7.243, 31.70.84.142, 41.220.77.56, 80.94.95.211, 135.232.201.49, 144.24.249.196, 172.16.106.27, 172.235.181.217, 3.67.7.209, 3.67.7.246, 54.93.254.156, 54.93.254.169, 213.209.159.154, 223.85.251.61, 213.209.159.175, 101.36.104.242, 90.84.168.147, 47.252.16.44, 185.177.72.66, 3.67.7.232, 102.69.221.101, 172.104.241.92, 172.234.162.56, 172.30.145.10, 172.30.145.9, 209.99.185.239, 3.67.7.155, 3.67.7.235, 31.132.90.3, 43.110.38.5, 43.155.172.154, 57.154.5.166, 89.126.211.166, 3.124.123.158, 3.124.123.217, 101.47.8.187, 185.177.72.12, 45.128.146.183, 172.182.201.160, 107.150.31.173, 18.194.95.89, 3.67.7.190, 102.216.134.50, 37.60.245.234, 175.119.225.92, 23.95.218.187, 149.88.30.60</t>
  </si>
  <si>
    <t>XPath Injection</t>
  </si>
  <si>
    <t>VIOL_XPATH_INJECTION</t>
  </si>
  <si>
    <t>XPath Injection Attempt</t>
  </si>
  <si>
    <t>Request contained XPath query manipulation patterns intended to alter XML query execution, bypass authentication, or retrieve unauthorized data from XML-based data stores.</t>
  </si>
  <si>
    <t>10.1.60.24, 41.220.77.56, 105.213.97.165, 144.24.249.196, 197.210.3.222</t>
  </si>
  <si>
    <t>10.1.60.24, 144.24.249.196</t>
  </si>
  <si>
    <t>20.125.176.177, 135.232.201.49, 144.24.249.196, 57.154.5.166, 105.213.97.165, 172.182.201.160</t>
  </si>
  <si>
    <t>10.1.60.24, 102.89.83.7, 172.16.106.27, 172.30.145.9, 144.24.249.196</t>
  </si>
  <si>
    <t>10.1.60.24, 41.220.77.56, 135.232.201.49, 172.16.106.27, 57.154.5.166, 172.182.201.160</t>
  </si>
  <si>
    <t>105.213.97.165, 20.125.176.177, 135.232.201.49, 172.16.106.27, 54.93.254.169, 3.67.7.232, 10.1.218.227, 3.67.7.235, 57.154.5.166, 3.124.123.217, 172.182.201.160, 3.67.7.190, 18.194.95.89</t>
  </si>
  <si>
    <t>10.1.60.24, 41.220.77.56, 105.213.97.165, 144.24.249.196</t>
  </si>
  <si>
    <t>105.213.97.165, 20.125.176.177, 135.232.201.49, 57.154.5.166, 172.182.201.160</t>
  </si>
  <si>
    <t>144.24.249.196, 172.30.145.10, 172.30.145.9</t>
  </si>
  <si>
    <t>HTTP Request Smuggling Attack</t>
  </si>
  <si>
    <t>VIOL_HTTP_REQUEST_SMUGGLING</t>
  </si>
  <si>
    <t>HTTP Request Smuggling Attempt</t>
  </si>
  <si>
    <t>Request contained malformed or ambiguous HTTP headers designed to exploit inconsistencies between front-end and back-end servers, potentially enabling request smuggling or unauthorized request processing.</t>
  </si>
  <si>
    <t>144.24.249.196, 105.213.97.165</t>
  </si>
  <si>
    <t>Blocked</t>
  </si>
  <si>
    <t>Allowed / Logged</t>
  </si>
  <si>
    <t>Remediated</t>
  </si>
  <si>
    <t xml:space="preserve">July 27th - August 2nd </t>
  </si>
  <si>
    <t xml:space="preserve">July 19th - July 26th </t>
  </si>
  <si>
    <t xml:space="preserve">July 13th - July 19th </t>
  </si>
  <si>
    <t xml:space="preserve">July 6th - July 12th </t>
  </si>
  <si>
    <t>Count</t>
  </si>
  <si>
    <t>2,178,400 more compared to last week</t>
  </si>
  <si>
    <t>3,246,887 more compared to last week</t>
  </si>
  <si>
    <t>4,617,519 less compared to last week</t>
  </si>
  <si>
    <t>Critical</t>
  </si>
  <si>
    <t>Server Side Code Injection (SSCI)</t>
  </si>
  <si>
    <t>SSRF</t>
  </si>
  <si>
    <t>SSRF (Server-Side Request Forgery)</t>
  </si>
  <si>
    <t xml:space="preserve">TOTAL </t>
  </si>
  <si>
    <t>9889713(100%)</t>
  </si>
  <si>
    <t>9889713(Remediated at WAF Layer)</t>
  </si>
  <si>
    <t>14507232(100%)</t>
  </si>
  <si>
    <t>14507232(Remediated at WAF Layer)</t>
  </si>
  <si>
    <t>15315000(100%)</t>
  </si>
  <si>
    <t>15315000(Remediated at WAF Layer)</t>
  </si>
  <si>
    <t>13136600(100%)</t>
  </si>
  <si>
    <t>13136600(Remediated at WAF Layer)</t>
  </si>
  <si>
    <t>3,347,920 less compared to last week</t>
  </si>
  <si>
    <t>1,371,465 more compared to last week</t>
  </si>
  <si>
    <t>1,211,956 more compared to last week</t>
  </si>
  <si>
    <t>3475911(100%)</t>
  </si>
  <si>
    <t>3475911(Remediated at WAF Layer)</t>
  </si>
  <si>
    <t>2104446(100%)</t>
  </si>
  <si>
    <t>2104446(Remediated at WAF Layer)</t>
  </si>
  <si>
    <t>127991(100%)</t>
  </si>
  <si>
    <t>127991(Remediated at WAF Layer)</t>
  </si>
  <si>
    <t>892490(100%)</t>
  </si>
  <si>
    <t>892490(Remediated at WAF Layer)</t>
  </si>
  <si>
    <t>1,704,000 less compared to last week</t>
  </si>
  <si>
    <t>2,911,995 more compared to last week</t>
  </si>
  <si>
    <t>4,571,388 less compared to last week</t>
  </si>
  <si>
    <t>5941306(100%)</t>
  </si>
  <si>
    <t>5941306(Remediated at WAF Layer)</t>
  </si>
  <si>
    <t>7645306(100%)</t>
  </si>
  <si>
    <t>7645306(Remediated at WAF Layer)</t>
  </si>
  <si>
    <t>4733311(100%)</t>
  </si>
  <si>
    <t>4733311(Remediated at WAF Layer)</t>
  </si>
  <si>
    <t>9304699(100%)</t>
  </si>
  <si>
    <t>9304699(Remediated at WAF Layer)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</si>
</sst>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35">
    <font>
      <sz val="11"/>
      <color theme="1"/>
      <name val="Calibri"/>
      <charset val="134"/>
      <scheme val="minor"/>
    </font>
    <font>
      <b/>
      <sz val="11"/>
      <name val="Trebuchet MS"/>
      <charset val="134"/>
    </font>
    <font>
      <b/>
      <sz val="12"/>
      <color theme="1"/>
      <name val="Trebuchet MS"/>
      <charset val="134"/>
    </font>
    <font>
      <b/>
      <sz val="12"/>
      <color theme="0"/>
      <name val="Trebuchet MS"/>
      <charset val="134"/>
    </font>
    <font>
      <b/>
      <sz val="11"/>
      <color rgb="FF3F3F3F"/>
      <name val="Trebuchet MS"/>
      <charset val="134"/>
    </font>
    <font>
      <b/>
      <sz val="11"/>
      <color theme="1"/>
      <name val="Calibri"/>
      <charset val="134"/>
      <scheme val="minor"/>
    </font>
    <font>
      <b/>
      <sz val="11"/>
      <color theme="1"/>
      <name val="DM Sans"/>
      <charset val="134"/>
    </font>
    <font>
      <b/>
      <sz val="11"/>
      <color rgb="FF3F3F3F"/>
      <name val="Calibri"/>
      <charset val="134"/>
      <scheme val="minor"/>
    </font>
    <font>
      <b/>
      <sz val="11"/>
      <color rgb="FF006100"/>
      <name val="Trebuchet MS"/>
      <charset val="134"/>
    </font>
    <font>
      <b/>
      <sz val="12"/>
      <name val="Trebuchet MS"/>
      <charset val="134"/>
    </font>
    <font>
      <sz val="11"/>
      <color theme="1"/>
      <name val="Trebuchet MS"/>
      <charset val="134"/>
    </font>
    <font>
      <b/>
      <sz val="12"/>
      <color rgb="FF3F3F3F"/>
      <name val="Trebuchet MS"/>
      <charset val="134"/>
    </font>
    <font>
      <b/>
      <sz val="11"/>
      <color theme="1"/>
      <name val="Trebuchet MS"/>
      <charset val="134"/>
    </font>
    <font>
      <b/>
      <sz val="11"/>
      <color theme="0"/>
      <name val="Trebuchet MS"/>
      <charset val="134"/>
    </font>
    <font>
      <b/>
      <sz val="12"/>
      <color rgb="FF3F3F3F"/>
      <name val="DM Sans"/>
      <charset val="134"/>
    </font>
    <font>
      <sz val="11"/>
      <color theme="1"/>
      <name val="Calibri"/>
      <charset val="134"/>
      <scheme val="minor"/>
    </font>
    <font>
      <sz val="11"/>
      <color rgb="FF3F3F3F"/>
      <name val="Trebuchet MS"/>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134"/>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8">
    <fill>
      <patternFill patternType="none"/>
    </fill>
    <fill>
      <patternFill patternType="gray125"/>
    </fill>
    <fill>
      <patternFill patternType="solid">
        <fgColor rgb="FFFF0000"/>
        <bgColor indexed="64"/>
      </patternFill>
    </fill>
    <fill>
      <patternFill patternType="solid">
        <fgColor theme="4" tint="0.799890133365886"/>
        <bgColor indexed="64"/>
      </patternFill>
    </fill>
    <fill>
      <patternFill patternType="solid">
        <fgColor theme="9" tint="0.599993896298105"/>
        <bgColor indexed="64"/>
      </patternFill>
    </fill>
    <fill>
      <patternFill patternType="solid">
        <fgColor rgb="FF002060"/>
        <bgColor indexed="64"/>
      </patternFill>
    </fill>
    <fill>
      <patternFill patternType="solid">
        <fgColor rgb="FF00B050"/>
        <bgColor indexed="64"/>
      </patternFill>
    </fill>
    <fill>
      <patternFill patternType="solid">
        <fgColor theme="2"/>
        <bgColor indexed="64"/>
      </patternFill>
    </fill>
    <fill>
      <patternFill patternType="solid">
        <fgColor rgb="FFF2F2F2"/>
        <bgColor indexed="64"/>
      </patternFill>
    </fill>
    <fill>
      <patternFill patternType="solid">
        <fgColor theme="5" tint="0.799951170384838"/>
        <bgColor indexed="64"/>
      </patternFill>
    </fill>
    <fill>
      <patternFill patternType="solid">
        <fgColor rgb="FFC6EFCE"/>
        <bgColor indexed="64"/>
      </patternFill>
    </fill>
    <fill>
      <patternFill patternType="solid">
        <fgColor rgb="FFF2F2F2"/>
        <bgColor rgb="FF000000"/>
      </patternFill>
    </fill>
    <fill>
      <patternFill patternType="solid">
        <fgColor rgb="FFC6E0B4"/>
        <bgColor rgb="FF000000"/>
      </patternFill>
    </fill>
    <fill>
      <patternFill patternType="solid">
        <fgColor rgb="FF00B050"/>
        <bgColor rgb="FF000000"/>
      </patternFill>
    </fill>
    <fill>
      <patternFill patternType="solid">
        <fgColor rgb="FF8B0000"/>
        <bgColor rgb="FF8B0000"/>
      </patternFill>
    </fill>
    <fill>
      <patternFill patternType="solid">
        <fgColor rgb="FFFF9999"/>
        <bgColor rgb="FFFF9999"/>
      </patternFill>
    </fill>
    <fill>
      <patternFill patternType="solid">
        <fgColor theme="0"/>
        <bgColor rgb="FFFF9999"/>
      </patternFill>
    </fill>
    <fill>
      <patternFill patternType="solid">
        <fgColor theme="0" tint="-0.1498764000366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rgb="FF3F3F3F"/>
      </left>
      <right style="thin">
        <color rgb="FF3F3F3F"/>
      </right>
      <top style="thin">
        <color rgb="FF3F3F3F"/>
      </top>
      <bottom style="thin">
        <color rgb="FF3F3F3F"/>
      </bottom>
      <diagonal/>
    </border>
    <border>
      <left style="thin">
        <color rgb="FF3F3F3F"/>
      </left>
      <right/>
      <top style="thin">
        <color rgb="FF3F3F3F"/>
      </top>
      <bottom style="thin">
        <color rgb="FF3F3F3F"/>
      </bottom>
      <diagonal/>
    </border>
    <border>
      <left/>
      <right/>
      <top/>
      <bottom style="thin">
        <color rgb="FF3F3F3F"/>
      </bottom>
      <diagonal/>
    </border>
    <border>
      <left/>
      <right style="thin">
        <color rgb="FF3F3F3F"/>
      </right>
      <top/>
      <bottom style="thin">
        <color rgb="FF3F3F3F"/>
      </bottom>
      <diagonal/>
    </border>
    <border>
      <left/>
      <right/>
      <top style="thin">
        <color rgb="FF3F3F3F"/>
      </top>
      <bottom/>
      <diagonal/>
    </border>
    <border>
      <left/>
      <right style="thin">
        <color rgb="FF3F3F3F"/>
      </right>
      <top style="thin">
        <color rgb="FF3F3F3F"/>
      </top>
      <bottom/>
      <diagonal/>
    </border>
    <border>
      <left/>
      <right/>
      <top style="thin">
        <color rgb="FF3F3F3F"/>
      </top>
      <bottom style="thin">
        <color rgb="FF3F3F3F"/>
      </bottom>
      <diagonal/>
    </border>
    <border>
      <left/>
      <right style="thin">
        <color rgb="FF3F3F3F"/>
      </right>
      <top style="thin">
        <color rgb="FF3F3F3F"/>
      </top>
      <bottom style="thin">
        <color rgb="FF3F3F3F"/>
      </bottom>
      <diagonal/>
    </border>
    <border>
      <left/>
      <right style="thin">
        <color rgb="FF3F3F3F"/>
      </right>
      <top/>
      <bottom/>
      <diagonal/>
    </border>
    <border>
      <left style="thin">
        <color rgb="FF3F3F3F"/>
      </left>
      <right style="thin">
        <color rgb="FF3F3F3F"/>
      </right>
      <top/>
      <bottom/>
      <diagonal/>
    </border>
    <border>
      <left style="thin">
        <color rgb="FF3F3F3F"/>
      </left>
      <right style="thin">
        <color rgb="FF3F3F3F"/>
      </right>
      <top/>
      <bottom style="thin">
        <color rgb="FF3F3F3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18" borderId="12"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13" applyNumberFormat="0" applyFill="0" applyAlignment="0" applyProtection="0">
      <alignment vertical="center"/>
    </xf>
    <xf numFmtId="0" fontId="23" fillId="0" borderId="13" applyNumberFormat="0" applyFill="0" applyAlignment="0" applyProtection="0">
      <alignment vertical="center"/>
    </xf>
    <xf numFmtId="0" fontId="24" fillId="0" borderId="14" applyNumberFormat="0" applyFill="0" applyAlignment="0" applyProtection="0">
      <alignment vertical="center"/>
    </xf>
    <xf numFmtId="0" fontId="24" fillId="0" borderId="0" applyNumberFormat="0" applyFill="0" applyBorder="0" applyAlignment="0" applyProtection="0">
      <alignment vertical="center"/>
    </xf>
    <xf numFmtId="0" fontId="25" fillId="19" borderId="15" applyNumberFormat="0" applyAlignment="0" applyProtection="0">
      <alignment vertical="center"/>
    </xf>
    <xf numFmtId="0" fontId="7" fillId="8" borderId="1"/>
    <xf numFmtId="0" fontId="26" fillId="20" borderId="15" applyNumberFormat="0" applyAlignment="0" applyProtection="0">
      <alignment vertical="center"/>
    </xf>
    <xf numFmtId="0" fontId="27" fillId="21" borderId="16" applyNumberFormat="0" applyAlignment="0" applyProtection="0">
      <alignment vertical="center"/>
    </xf>
    <xf numFmtId="0" fontId="28" fillId="0" borderId="17" applyNumberFormat="0" applyFill="0" applyAlignment="0" applyProtection="0">
      <alignment vertical="center"/>
    </xf>
    <xf numFmtId="0" fontId="29" fillId="0" borderId="18" applyNumberFormat="0" applyFill="0" applyAlignment="0" applyProtection="0">
      <alignment vertical="center"/>
    </xf>
    <xf numFmtId="0" fontId="30" fillId="10" borderId="0"/>
    <xf numFmtId="0" fontId="31" fillId="22" borderId="0" applyNumberFormat="0" applyBorder="0" applyAlignment="0" applyProtection="0">
      <alignment vertical="center"/>
    </xf>
    <xf numFmtId="0" fontId="32" fillId="23" borderId="0" applyNumberFormat="0" applyBorder="0" applyAlignment="0" applyProtection="0">
      <alignment vertical="center"/>
    </xf>
    <xf numFmtId="0" fontId="33" fillId="24"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4" fillId="33" borderId="0" applyNumberFormat="0" applyBorder="0" applyAlignment="0" applyProtection="0">
      <alignment vertical="center"/>
    </xf>
    <xf numFmtId="0" fontId="34" fillId="34" borderId="0" applyNumberFormat="0" applyBorder="0" applyAlignment="0" applyProtection="0">
      <alignment vertical="center"/>
    </xf>
    <xf numFmtId="0" fontId="33" fillId="35" borderId="0" applyNumberFormat="0" applyBorder="0" applyAlignment="0" applyProtection="0">
      <alignment vertical="center"/>
    </xf>
    <xf numFmtId="0" fontId="33" fillId="36" borderId="0" applyNumberFormat="0" applyBorder="0" applyAlignment="0" applyProtection="0">
      <alignment vertical="center"/>
    </xf>
    <xf numFmtId="0" fontId="34" fillId="37" borderId="0" applyNumberFormat="0" applyBorder="0" applyAlignment="0" applyProtection="0">
      <alignment vertical="center"/>
    </xf>
    <xf numFmtId="0" fontId="34" fillId="38" borderId="0" applyNumberFormat="0" applyBorder="0" applyAlignment="0" applyProtection="0">
      <alignment vertical="center"/>
    </xf>
    <xf numFmtId="0" fontId="33" fillId="39" borderId="0" applyNumberFormat="0" applyBorder="0" applyAlignment="0" applyProtection="0">
      <alignment vertical="center"/>
    </xf>
    <xf numFmtId="0" fontId="33" fillId="40" borderId="0" applyNumberFormat="0" applyBorder="0" applyAlignment="0" applyProtection="0">
      <alignment vertical="center"/>
    </xf>
    <xf numFmtId="0" fontId="34" fillId="41" borderId="0" applyNumberFormat="0" applyBorder="0" applyAlignment="0" applyProtection="0">
      <alignment vertical="center"/>
    </xf>
    <xf numFmtId="0" fontId="34" fillId="42" borderId="0" applyNumberFormat="0" applyBorder="0" applyAlignment="0" applyProtection="0">
      <alignment vertical="center"/>
    </xf>
    <xf numFmtId="0" fontId="33" fillId="43" borderId="0" applyNumberFormat="0" applyBorder="0" applyAlignment="0" applyProtection="0">
      <alignment vertical="center"/>
    </xf>
    <xf numFmtId="0" fontId="33" fillId="44" borderId="0" applyNumberFormat="0" applyBorder="0" applyAlignment="0" applyProtection="0">
      <alignment vertical="center"/>
    </xf>
    <xf numFmtId="0" fontId="34" fillId="45" borderId="0" applyNumberFormat="0" applyBorder="0" applyAlignment="0" applyProtection="0">
      <alignment vertical="center"/>
    </xf>
    <xf numFmtId="0" fontId="34" fillId="46" borderId="0" applyNumberFormat="0" applyBorder="0" applyAlignment="0" applyProtection="0">
      <alignment vertical="center"/>
    </xf>
    <xf numFmtId="0" fontId="33" fillId="47" borderId="0" applyNumberFormat="0" applyBorder="0" applyAlignment="0" applyProtection="0">
      <alignment vertical="center"/>
    </xf>
    <xf numFmtId="0" fontId="7" fillId="8" borderId="1"/>
    <xf numFmtId="0" fontId="7" fillId="8" borderId="1"/>
    <xf numFmtId="0" fontId="7" fillId="8" borderId="1"/>
  </cellStyleXfs>
  <cellXfs count="46">
    <xf numFmtId="0" fontId="0" fillId="0" borderId="0" xfId="0"/>
    <xf numFmtId="0" fontId="1" fillId="2" borderId="1" xfId="17" applyFont="1" applyFill="1" applyAlignment="1">
      <alignment horizontal="center" vertical="center"/>
    </xf>
    <xf numFmtId="0" fontId="1" fillId="3" borderId="1" xfId="17" applyFont="1" applyFill="1" applyAlignment="1">
      <alignment horizontal="center" vertical="center" wrapText="1"/>
    </xf>
    <xf numFmtId="0" fontId="2" fillId="4" borderId="1" xfId="17" applyFont="1" applyFill="1" applyAlignment="1">
      <alignment horizontal="center" vertical="center" wrapText="1"/>
    </xf>
    <xf numFmtId="0" fontId="3" fillId="5" borderId="1" xfId="17" applyFont="1" applyFill="1" applyAlignment="1">
      <alignment horizontal="center" vertical="center" wrapText="1"/>
    </xf>
    <xf numFmtId="0" fontId="2" fillId="6" borderId="2" xfId="17" applyFont="1" applyFill="1" applyBorder="1" applyAlignment="1">
      <alignment horizontal="center" vertical="center" wrapText="1"/>
    </xf>
    <xf numFmtId="0" fontId="4" fillId="7" borderId="3" xfId="17" applyFont="1" applyFill="1" applyBorder="1" applyAlignment="1">
      <alignment horizontal="center" vertical="center" wrapText="1"/>
    </xf>
    <xf numFmtId="0" fontId="4" fillId="7" borderId="4" xfId="17" applyFont="1" applyFill="1" applyBorder="1" applyAlignment="1">
      <alignment horizontal="center" vertical="center" wrapText="1"/>
    </xf>
    <xf numFmtId="0" fontId="5" fillId="8" borderId="1" xfId="49" applyFont="1" applyAlignment="1">
      <alignment horizontal="left" vertical="center"/>
    </xf>
    <xf numFmtId="0" fontId="6" fillId="8" borderId="1" xfId="49" applyFont="1" applyAlignment="1">
      <alignment horizontal="left" vertical="center"/>
    </xf>
    <xf numFmtId="0" fontId="7" fillId="9" borderId="5" xfId="17" applyFill="1" applyBorder="1" applyAlignment="1">
      <alignment horizontal="center" vertical="center" wrapText="1"/>
    </xf>
    <xf numFmtId="0" fontId="7" fillId="9" borderId="6" xfId="17" applyFill="1" applyBorder="1" applyAlignment="1">
      <alignment horizontal="center" vertical="center" wrapText="1"/>
    </xf>
    <xf numFmtId="0" fontId="8" fillId="10" borderId="6" xfId="22" applyFont="1" applyBorder="1" applyAlignment="1">
      <alignment horizontal="center" vertical="center" wrapText="1"/>
    </xf>
    <xf numFmtId="3" fontId="0" fillId="0" borderId="0" xfId="0" applyNumberFormat="1"/>
    <xf numFmtId="0" fontId="1" fillId="11" borderId="1" xfId="0" applyFont="1" applyFill="1" applyBorder="1" applyAlignment="1">
      <alignment horizontal="center" vertical="center"/>
    </xf>
    <xf numFmtId="3" fontId="9" fillId="11" borderId="1" xfId="0" applyNumberFormat="1" applyFont="1" applyFill="1" applyBorder="1" applyAlignment="1">
      <alignment horizontal="center" vertical="center"/>
    </xf>
    <xf numFmtId="0" fontId="9" fillId="12" borderId="1" xfId="0" applyFont="1" applyFill="1" applyBorder="1" applyAlignment="1">
      <alignment horizontal="center" vertical="center" wrapText="1"/>
    </xf>
    <xf numFmtId="0" fontId="9" fillId="13" borderId="1" xfId="0" applyFont="1" applyFill="1" applyBorder="1" applyAlignment="1">
      <alignment horizontal="center" vertical="center" wrapText="1"/>
    </xf>
    <xf numFmtId="0" fontId="0" fillId="14" borderId="0" xfId="0" applyFill="1"/>
    <xf numFmtId="0" fontId="0" fillId="15" borderId="0" xfId="0" applyFill="1"/>
    <xf numFmtId="0" fontId="0" fillId="16" borderId="0" xfId="0" applyFill="1"/>
    <xf numFmtId="0" fontId="7" fillId="9" borderId="7" xfId="17" applyFill="1" applyBorder="1" applyAlignment="1">
      <alignment horizontal="center" vertical="center" wrapText="1"/>
    </xf>
    <xf numFmtId="0" fontId="7" fillId="9" borderId="8" xfId="17" applyFill="1" applyBorder="1" applyAlignment="1">
      <alignment horizontal="center" vertical="center" wrapText="1"/>
    </xf>
    <xf numFmtId="0" fontId="10" fillId="0" borderId="0" xfId="0" applyFont="1"/>
    <xf numFmtId="0" fontId="5" fillId="0" borderId="0" xfId="0" applyFont="1"/>
    <xf numFmtId="0" fontId="3" fillId="5" borderId="1" xfId="17" applyFont="1" applyFill="1" applyAlignment="1">
      <alignment horizontal="center" vertical="center"/>
    </xf>
    <xf numFmtId="0" fontId="11" fillId="8" borderId="1" xfId="49" applyFont="1" applyAlignment="1">
      <alignment horizontal="center" vertical="center"/>
    </xf>
    <xf numFmtId="0" fontId="12" fillId="8" borderId="1" xfId="49" applyFont="1" applyAlignment="1">
      <alignment horizontal="left" vertical="center" wrapText="1"/>
    </xf>
    <xf numFmtId="0" fontId="10" fillId="8" borderId="1" xfId="49" applyFont="1" applyAlignment="1">
      <alignment horizontal="left" vertical="center" wrapText="1"/>
    </xf>
    <xf numFmtId="0" fontId="13" fillId="2" borderId="1" xfId="49" applyFont="1" applyFill="1" applyAlignment="1">
      <alignment horizontal="center" vertical="center"/>
    </xf>
    <xf numFmtId="0" fontId="10" fillId="8" borderId="1" xfId="49" applyFont="1" applyAlignment="1">
      <alignment horizontal="left" vertical="center"/>
    </xf>
    <xf numFmtId="0" fontId="14" fillId="8" borderId="1" xfId="49" applyFont="1" applyAlignment="1">
      <alignment horizontal="center" vertical="center"/>
    </xf>
    <xf numFmtId="0" fontId="0" fillId="0" borderId="0" xfId="0" applyAlignment="1">
      <alignment horizontal="center"/>
    </xf>
    <xf numFmtId="0" fontId="11" fillId="8" borderId="9" xfId="49" applyFont="1" applyBorder="1" applyAlignment="1">
      <alignment horizontal="center" vertical="center"/>
    </xf>
    <xf numFmtId="0" fontId="11" fillId="8" borderId="0" xfId="49" applyFont="1" applyBorder="1" applyAlignment="1">
      <alignment horizontal="center" vertical="center"/>
    </xf>
    <xf numFmtId="0" fontId="15" fillId="0" borderId="0" xfId="0" applyFont="1"/>
    <xf numFmtId="0" fontId="4" fillId="17" borderId="1" xfId="17" applyFont="1" applyFill="1" applyAlignment="1">
      <alignment horizontal="center"/>
    </xf>
    <xf numFmtId="0" fontId="16" fillId="8" borderId="1" xfId="17" applyFont="1" applyAlignment="1">
      <alignment horizontal="center" vertical="center"/>
    </xf>
    <xf numFmtId="0" fontId="0" fillId="0" borderId="7" xfId="0" applyBorder="1"/>
    <xf numFmtId="0" fontId="0" fillId="0" borderId="10" xfId="0" applyBorder="1"/>
    <xf numFmtId="0" fontId="0" fillId="0" borderId="11" xfId="0" applyBorder="1"/>
    <xf numFmtId="0" fontId="4" fillId="17" borderId="1" xfId="17" applyFont="1" applyFill="1" applyAlignment="1">
      <alignment horizontal="left" vertical="center"/>
    </xf>
    <xf numFmtId="0" fontId="16" fillId="8" borderId="1" xfId="17" applyFont="1" applyAlignment="1">
      <alignment horizontal="center"/>
    </xf>
    <xf numFmtId="0" fontId="4" fillId="17" borderId="1" xfId="17" applyFont="1" applyFill="1" applyAlignment="1">
      <alignment horizontal="left" vertical="center" wrapText="1"/>
    </xf>
    <xf numFmtId="0" fontId="16" fillId="8" borderId="1" xfId="17" applyFont="1" applyAlignment="1">
      <alignment horizontal="center" vertical="center" wrapText="1"/>
    </xf>
    <xf numFmtId="0" fontId="0" fillId="0" borderId="8" xfId="0" applyBorder="1"/>
  </cellXfs>
  <cellStyles count="52">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Output 2" xfId="49"/>
    <cellStyle name="Output 2 2" xfId="50"/>
    <cellStyle name="Output 3" xfId="51"/>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GB" sz="1800" b="1" i="0" u="none" strike="noStrike" kern="1200" baseline="0">
                <a:solidFill>
                  <a:schemeClr val="tx1"/>
                </a:solidFill>
                <a:latin typeface="+mn-lt"/>
                <a:ea typeface="+mn-ea"/>
                <a:cs typeface="+mn-cs"/>
              </a:defRPr>
            </a:pPr>
            <a:r>
              <a:rPr lang="en-US"/>
              <a:t>Incident Counts by Attack Type (IKY LTM)</a:t>
            </a:r>
            <a:endParaRPr lang="en-US"/>
          </a:p>
        </c:rich>
      </c:tx>
      <c:layout/>
      <c:overlay val="0"/>
    </c:title>
    <c:autoTitleDeleted val="0"/>
    <c:plotArea>
      <c:layout/>
      <c:barChart>
        <c:barDir val="bar"/>
        <c:grouping val="clustered"/>
        <c:varyColors val="0"/>
        <c:ser>
          <c:idx val="0"/>
          <c:order val="0"/>
          <c:spPr>
            <a:solidFill>
              <a:srgbClr val="DC2626"/>
            </a:solidFill>
            <a:ln>
              <a:noFill/>
              <a:prstDash val="solid"/>
            </a:ln>
          </c:spPr>
          <c:invertIfNegative val="0"/>
          <c:dPt>
            <c:idx val="0"/>
            <c:invertIfNegative val="0"/>
            <c:bubble3D val="0"/>
            <c:spPr>
              <a:ln>
                <a:noFill/>
                <a:prstDash val="solid"/>
              </a:ln>
            </c:spPr>
          </c:dPt>
          <c:dPt>
            <c:idx val="1"/>
            <c:invertIfNegative val="0"/>
            <c:bubble3D val="0"/>
            <c:spPr>
              <a:solidFill>
                <a:srgbClr val="D97706"/>
              </a:solidFill>
              <a:ln>
                <a:noFill/>
                <a:prstDash val="solid"/>
              </a:ln>
            </c:spPr>
          </c:dPt>
          <c:dPt>
            <c:idx val="2"/>
            <c:invertIfNegative val="0"/>
            <c:bubble3D val="0"/>
            <c:spPr>
              <a:solidFill>
                <a:srgbClr val="888888"/>
              </a:solidFill>
              <a:ln>
                <a:noFill/>
                <a:prstDash val="solid"/>
              </a:ln>
            </c:spPr>
          </c:dPt>
          <c:dPt>
            <c:idx val="3"/>
            <c:invertIfNegative val="0"/>
            <c:bubble3D val="0"/>
            <c:spPr>
              <a:ln>
                <a:noFill/>
                <a:prstDash val="solid"/>
              </a:ln>
            </c:spPr>
          </c:dPt>
          <c:dPt>
            <c:idx val="4"/>
            <c:invertIfNegative val="0"/>
            <c:bubble3D val="0"/>
            <c:spPr>
              <a:solidFill>
                <a:srgbClr val="D97706"/>
              </a:solidFill>
              <a:ln>
                <a:noFill/>
                <a:prstDash val="solid"/>
              </a:ln>
            </c:spPr>
          </c:dPt>
          <c:dPt>
            <c:idx val="5"/>
            <c:invertIfNegative val="0"/>
            <c:bubble3D val="0"/>
            <c:spPr>
              <a:solidFill>
                <a:srgbClr val="888888"/>
              </a:solidFill>
              <a:ln>
                <a:noFill/>
                <a:prstDash val="solid"/>
              </a:ln>
            </c:spPr>
          </c:dPt>
          <c:dPt>
            <c:idx val="6"/>
            <c:invertIfNegative val="0"/>
            <c:bubble3D val="0"/>
            <c:spPr>
              <a:ln>
                <a:noFill/>
                <a:prstDash val="solid"/>
              </a:ln>
            </c:spPr>
          </c:dPt>
          <c:dPt>
            <c:idx val="7"/>
            <c:invertIfNegative val="0"/>
            <c:bubble3D val="0"/>
            <c:spPr>
              <a:solidFill>
                <a:srgbClr val="D97706"/>
              </a:solidFill>
              <a:ln>
                <a:noFill/>
                <a:prstDash val="solid"/>
              </a:ln>
            </c:spPr>
          </c:dPt>
          <c:dLbls>
            <c:spPr>
              <a:noFill/>
              <a:ln>
                <a:noFill/>
                <a:prstDash val="solid"/>
              </a:ln>
              <a:effectLst/>
            </c:spPr>
            <c:txPr>
              <a:bodyPr rot="0" spcFirstLastPara="0" vertOverflow="ellipsis" vert="horz" wrap="square" lIns="38100" tIns="19050" rIns="38100" bIns="19050" anchor="ctr" anchorCtr="1"/>
              <a:lstStyle/>
              <a:p>
                <a:pPr>
                  <a:defRPr lang="en-GB"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Dashboard IKY'!$A$2:$A$15</c:f>
              <c:strCache>
                <c:ptCount val="14"/>
                <c:pt idx="0">
                  <c:v>HTTP Parser Attack</c:v>
                </c:pt>
                <c:pt idx="1">
                  <c:v>Detection Evasion</c:v>
                </c:pt>
                <c:pt idx="2">
                  <c:v>Information Leakage</c:v>
                </c:pt>
                <c:pt idx="3">
                  <c:v>Forceful Browsing</c:v>
                </c:pt>
                <c:pt idx="4">
                  <c:v>Path Traversal</c:v>
                </c:pt>
                <c:pt idx="5">
                  <c:v>Buffer Overflow</c:v>
                </c:pt>
                <c:pt idx="6">
                  <c:v>Cross Site Scripting (XSS)</c:v>
                </c:pt>
                <c:pt idx="7">
                  <c:v>Server Side Code Injection</c:v>
                </c:pt>
                <c:pt idx="8">
                  <c:v>JSON Parser Attack</c:v>
                </c:pt>
                <c:pt idx="9">
                  <c:v>Injection Attempt</c:v>
                </c:pt>
                <c:pt idx="10">
                  <c:v>Abuse of Functionality</c:v>
                </c:pt>
                <c:pt idx="11">
                  <c:v>Predictable Resource Location</c:v>
                </c:pt>
                <c:pt idx="12">
                  <c:v>SQL-Injection</c:v>
                </c:pt>
                <c:pt idx="13">
                  <c:v>Other Application Attacks</c:v>
                </c:pt>
              </c:strCache>
            </c:strRef>
          </c:cat>
          <c:val>
            <c:numRef>
              <c:f>'Summary Dashboard IKY'!$B$2:$B$15</c:f>
              <c:numCache>
                <c:formatCode>General</c:formatCode>
                <c:ptCount val="14"/>
                <c:pt idx="0">
                  <c:v>1248639</c:v>
                </c:pt>
                <c:pt idx="1">
                  <c:v>1162685</c:v>
                </c:pt>
                <c:pt idx="2">
                  <c:v>1140325</c:v>
                </c:pt>
                <c:pt idx="3">
                  <c:v>1120404</c:v>
                </c:pt>
                <c:pt idx="4">
                  <c:v>686795</c:v>
                </c:pt>
                <c:pt idx="5">
                  <c:v>669731</c:v>
                </c:pt>
                <c:pt idx="6">
                  <c:v>652910</c:v>
                </c:pt>
                <c:pt idx="7">
                  <c:v>651316</c:v>
                </c:pt>
                <c:pt idx="8">
                  <c:v>629230</c:v>
                </c:pt>
                <c:pt idx="9">
                  <c:v>598360</c:v>
                </c:pt>
                <c:pt idx="10">
                  <c:v>591797</c:v>
                </c:pt>
                <c:pt idx="11">
                  <c:v>590340</c:v>
                </c:pt>
                <c:pt idx="12">
                  <c:v>579680</c:v>
                </c:pt>
                <c:pt idx="13">
                  <c:v>565799</c:v>
                </c:pt>
              </c:numCache>
            </c:numRef>
          </c:val>
        </c:ser>
        <c:dLbls>
          <c:showLegendKey val="0"/>
          <c:showVal val="1"/>
          <c:showCatName val="0"/>
          <c:showSerName val="0"/>
          <c:showPercent val="0"/>
          <c:showBubbleSize val="0"/>
        </c:dLbls>
        <c:gapWidth val="150"/>
        <c:axId val="2094734554"/>
        <c:axId val="2094734552"/>
      </c:barChart>
      <c:catAx>
        <c:axId val="2094734554"/>
        <c:scaling>
          <c:orientation val="minMax"/>
        </c:scaling>
        <c:delete val="0"/>
        <c:axPos val="l"/>
        <c:numFmt formatCode="General" sourceLinked="1"/>
        <c:majorTickMark val="out"/>
        <c:minorTickMark val="none"/>
        <c:tickLblPos val="nextTo"/>
        <c:spPr>
          <a:ln w="12700" cap="flat" cmpd="sng" algn="ctr">
            <a:solidFill>
              <a:srgbClr val="888888"/>
            </a:solidFill>
            <a:prstDash val="solid"/>
            <a:round/>
          </a:ln>
        </c:spPr>
        <c:txPr>
          <a:bodyPr rot="-60000000" spcFirstLastPara="0" vertOverflow="ellipsis" vert="horz" wrap="square" anchor="ctr" anchorCtr="1"/>
          <a:lstStyle/>
          <a:p>
            <a:pPr>
              <a:defRPr lang="en-GB" sz="1000" b="0" i="0" u="none" strike="noStrike" kern="1200" baseline="0">
                <a:solidFill>
                  <a:schemeClr val="tx1"/>
                </a:solidFill>
                <a:latin typeface="+mn-lt"/>
                <a:ea typeface="+mn-ea"/>
                <a:cs typeface="+mn-cs"/>
              </a:defRPr>
            </a:pPr>
          </a:p>
        </c:txPr>
        <c:crossAx val="2094734552"/>
        <c:crosses val="autoZero"/>
        <c:auto val="1"/>
        <c:lblAlgn val="ctr"/>
        <c:lblOffset val="100"/>
        <c:noMultiLvlLbl val="1"/>
      </c:catAx>
      <c:valAx>
        <c:axId val="2094734552"/>
        <c:scaling>
          <c:orientation val="minMax"/>
        </c:scaling>
        <c:delete val="0"/>
        <c:axPos val="b"/>
        <c:majorGridlines>
          <c:spPr>
            <a:ln w="6350" cap="flat" cmpd="sng" algn="ctr">
              <a:solidFill>
                <a:srgbClr val="F0F0F0"/>
              </a:solidFill>
              <a:prstDash val="solid"/>
              <a:round/>
            </a:ln>
          </c:spPr>
        </c:majorGridlines>
        <c:numFmt formatCode="General" sourceLinked="0"/>
        <c:majorTickMark val="out"/>
        <c:minorTickMark val="none"/>
        <c:tickLblPos val="low"/>
        <c:spPr>
          <a:ln w="12700" cap="flat" cmpd="sng" algn="ctr">
            <a:solidFill>
              <a:srgbClr val="888888"/>
            </a:solidFill>
            <a:prstDash val="solid"/>
            <a:round/>
          </a:ln>
        </c:spPr>
        <c:txPr>
          <a:bodyPr rot="-60000000" spcFirstLastPara="0" vertOverflow="ellipsis" vert="horz" wrap="square" anchor="ctr" anchorCtr="1"/>
          <a:lstStyle/>
          <a:p>
            <a:pPr>
              <a:defRPr lang="en-GB" sz="1000" b="0" i="0" u="none" strike="noStrike" kern="1200" baseline="0">
                <a:solidFill>
                  <a:schemeClr val="tx1"/>
                </a:solidFill>
                <a:latin typeface="+mn-lt"/>
                <a:ea typeface="+mn-ea"/>
                <a:cs typeface="+mn-cs"/>
              </a:defRPr>
            </a:pPr>
          </a:p>
        </c:txPr>
        <c:crossAx val="2094734554"/>
        <c:crosses val="autoZero"/>
        <c:crossBetween val="between"/>
      </c:valAx>
    </c:plotArea>
    <c:plotVisOnly val="1"/>
    <c:dispBlanksAs val="span"/>
    <c:showDLblsOverMax val="1"/>
    <c:extLst>
      <c:ext uri="{0b15fc19-7d7d-44ad-8c2d-2c3a37ce22c3}">
        <chartProps xmlns="https://web.wps.cn/et/2018/main" chartId="{f31e50ba-b27c-4303-aa45-1dde37872ed8}"/>
      </c:ext>
    </c:extLst>
  </c:chart>
  <c:spPr>
    <a:solidFill>
      <a:srgbClr val="FFFFFF"/>
    </a:solidFill>
    <a:ln w="9525" cap="flat" cmpd="sng" algn="ctr">
      <a:noFill/>
      <a:prstDash val="solid"/>
      <a:round/>
    </a:ln>
  </c:spPr>
  <c:txPr>
    <a:bodyPr/>
    <a:lstStyle/>
    <a:p>
      <a:pPr>
        <a:defRPr lang="en-GB"/>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lang="en-US"/>
              <a:t>High Severity Attack Distribution (IKY LTM)</a:t>
            </a:r>
            <a:endParaRPr lang="en-US"/>
          </a:p>
        </c:rich>
      </c:tx>
      <c:layout/>
      <c:overlay val="0"/>
    </c:title>
    <c:autoTitleDeleted val="0"/>
    <c:plotArea>
      <c:layout/>
      <c:pieChart>
        <c:varyColors val="1"/>
        <c:ser>
          <c:idx val="0"/>
          <c:order val="0"/>
          <c:spPr>
            <a:ln>
              <a:noFill/>
              <a:prstDash val="solid"/>
            </a:ln>
          </c:spPr>
          <c:explosion val="0"/>
          <c:dPt>
            <c:idx val="0"/>
            <c:bubble3D val="0"/>
            <c:spPr>
              <a:ln>
                <a:noFill/>
                <a:prstDash val="solid"/>
              </a:ln>
            </c:spPr>
          </c:dPt>
          <c:dPt>
            <c:idx val="1"/>
            <c:bubble3D val="0"/>
            <c:spPr>
              <a:ln>
                <a:noFill/>
                <a:prstDash val="solid"/>
              </a:ln>
            </c:spPr>
          </c:dPt>
          <c:dPt>
            <c:idx val="2"/>
            <c:bubble3D val="0"/>
            <c:spPr>
              <a:ln>
                <a:noFill/>
                <a:prstDash val="solid"/>
              </a:ln>
            </c:spPr>
          </c:dPt>
          <c:dPt>
            <c:idx val="3"/>
            <c:bubble3D val="0"/>
            <c:spPr>
              <a:ln>
                <a:noFill/>
                <a:prstDash val="solid"/>
              </a:ln>
            </c:spPr>
          </c:dPt>
          <c:dPt>
            <c:idx val="4"/>
            <c:bubble3D val="0"/>
            <c:spPr>
              <a:ln>
                <a:noFill/>
                <a:prstDash val="solid"/>
              </a:ln>
            </c:spPr>
          </c:dPt>
          <c:dPt>
            <c:idx val="5"/>
            <c:bubble3D val="0"/>
            <c:spPr>
              <a:ln>
                <a:noFill/>
                <a:prstDash val="solid"/>
              </a:ln>
            </c:spPr>
          </c:dPt>
          <c:dPt>
            <c:idx val="6"/>
            <c:bubble3D val="0"/>
            <c:spPr>
              <a:ln>
                <a:noFill/>
                <a:prstDash val="solid"/>
              </a:ln>
            </c:spPr>
          </c:dPt>
          <c:dPt>
            <c:idx val="7"/>
            <c:bubble3D val="0"/>
            <c:spPr>
              <a:ln>
                <a:noFill/>
                <a:prstDash val="solid"/>
              </a:ln>
            </c:spPr>
          </c:dPt>
          <c:dPt>
            <c:idx val="8"/>
            <c:bubble3D val="0"/>
            <c:spPr>
              <a:ln>
                <a:noFill/>
                <a:prstDash val="solid"/>
              </a:ln>
            </c:spPr>
          </c:dPt>
          <c:dPt>
            <c:idx val="9"/>
            <c:bubble3D val="0"/>
            <c:spPr>
              <a:ln>
                <a:noFill/>
                <a:prstDash val="solid"/>
              </a:ln>
            </c:spPr>
          </c:dPt>
          <c:dPt>
            <c:idx val="10"/>
            <c:bubble3D val="0"/>
            <c:spPr>
              <a:ln>
                <a:noFill/>
                <a:prstDash val="solid"/>
              </a:ln>
            </c:spPr>
          </c:dPt>
          <c:dPt>
            <c:idx val="11"/>
            <c:bubble3D val="0"/>
            <c:spPr>
              <a:ln>
                <a:noFill/>
                <a:prstDash val="solid"/>
              </a:ln>
            </c:spPr>
          </c:dPt>
          <c:dPt>
            <c:idx val="12"/>
            <c:bubble3D val="0"/>
            <c:spPr>
              <a:ln>
                <a:noFill/>
                <a:prstDash val="solid"/>
              </a:ln>
            </c:spPr>
          </c:dPt>
          <c:dPt>
            <c:idx val="13"/>
            <c:bubble3D val="0"/>
            <c:spPr>
              <a:ln>
                <a:noFill/>
                <a:prstDash val="solid"/>
              </a:ln>
            </c:spPr>
          </c:dPt>
          <c:dPt>
            <c:idx val="14"/>
            <c:bubble3D val="0"/>
            <c:spPr>
              <a:ln>
                <a:noFill/>
                <a:prstDash val="solid"/>
              </a:ln>
            </c:spPr>
          </c:dPt>
          <c:dPt>
            <c:idx val="15"/>
            <c:bubble3D val="0"/>
            <c:spPr>
              <a:ln>
                <a:noFill/>
                <a:prstDash val="solid"/>
              </a:ln>
            </c:spPr>
          </c:dPt>
          <c:dPt>
            <c:idx val="16"/>
            <c:bubble3D val="0"/>
            <c:spPr>
              <a:ln>
                <a:noFill/>
                <a:prstDash val="solid"/>
              </a:ln>
            </c:spPr>
          </c:dPt>
          <c:dPt>
            <c:idx val="17"/>
            <c:bubble3D val="0"/>
            <c:spPr>
              <a:ln>
                <a:noFill/>
                <a:prstDash val="solid"/>
              </a:ln>
            </c:spPr>
          </c:dPt>
          <c:dPt>
            <c:idx val="18"/>
            <c:bubble3D val="0"/>
            <c:spPr>
              <a:ln>
                <a:noFill/>
                <a:prstDash val="solid"/>
              </a:ln>
            </c:spPr>
          </c:dPt>
          <c:dPt>
            <c:idx val="19"/>
            <c:bubble3D val="0"/>
            <c:spPr>
              <a:ln>
                <a:noFill/>
                <a:prstDash val="solid"/>
              </a:ln>
            </c:spPr>
          </c:dPt>
          <c:dPt>
            <c:idx val="20"/>
            <c:bubble3D val="0"/>
            <c:spPr>
              <a:ln>
                <a:noFill/>
                <a:prstDash val="solid"/>
              </a:ln>
            </c:spPr>
          </c:dPt>
          <c:dPt>
            <c:idx val="21"/>
            <c:bubble3D val="0"/>
            <c:spPr>
              <a:ln>
                <a:noFill/>
                <a:prstDash val="solid"/>
              </a:ln>
            </c:spPr>
          </c:dPt>
          <c:dPt>
            <c:idx val="22"/>
            <c:bubble3D val="0"/>
            <c:spPr>
              <a:ln>
                <a:noFill/>
                <a:prstDash val="solid"/>
              </a:ln>
            </c:spPr>
          </c:dPt>
          <c:dPt>
            <c:idx val="23"/>
            <c:bubble3D val="0"/>
            <c:spPr>
              <a:ln>
                <a:noFill/>
                <a:prstDash val="solid"/>
              </a:ln>
            </c:spPr>
          </c:dPt>
          <c:dPt>
            <c:idx val="24"/>
            <c:bubble3D val="0"/>
            <c:spPr>
              <a:ln>
                <a:noFill/>
                <a:prstDash val="solid"/>
              </a:ln>
            </c:spPr>
          </c:dPt>
          <c:dPt>
            <c:idx val="25"/>
            <c:bubble3D val="0"/>
            <c:spPr>
              <a:ln>
                <a:noFill/>
                <a:prstDash val="solid"/>
              </a:ln>
            </c:spPr>
          </c:dPt>
          <c:dPt>
            <c:idx val="26"/>
            <c:bubble3D val="0"/>
            <c:spPr>
              <a:ln>
                <a:noFill/>
                <a:prstDash val="solid"/>
              </a:ln>
            </c:spPr>
          </c:dPt>
          <c:dPt>
            <c:idx val="27"/>
            <c:bubble3D val="0"/>
            <c:spPr>
              <a:ln>
                <a:noFill/>
                <a:prstDash val="solid"/>
              </a:ln>
            </c:spPr>
          </c:dPt>
          <c:dPt>
            <c:idx val="28"/>
            <c:bubble3D val="0"/>
            <c:spPr>
              <a:ln>
                <a:noFill/>
                <a:prstDash val="solid"/>
              </a:ln>
            </c:spPr>
          </c:dPt>
          <c:dPt>
            <c:idx val="29"/>
            <c:bubble3D val="0"/>
            <c:spPr>
              <a:ln>
                <a:noFill/>
                <a:prstDash val="solid"/>
              </a:ln>
            </c:spPr>
          </c:dPt>
          <c:dLbls>
            <c:delete val="1"/>
          </c:dLbls>
          <c:cat>
            <c:strRef>
              <c:f>'Summary Dashboard IKY'!$A$2:$A$31</c:f>
              <c:strCache>
                <c:ptCount val="30"/>
                <c:pt idx="0">
                  <c:v>HTTP Parser Attack</c:v>
                </c:pt>
                <c:pt idx="1">
                  <c:v>Detection Evasion</c:v>
                </c:pt>
                <c:pt idx="2">
                  <c:v>Information Leakage</c:v>
                </c:pt>
                <c:pt idx="3">
                  <c:v>Forceful Browsing</c:v>
                </c:pt>
                <c:pt idx="4">
                  <c:v>Path Traversal</c:v>
                </c:pt>
                <c:pt idx="5">
                  <c:v>Buffer Overflow</c:v>
                </c:pt>
                <c:pt idx="6">
                  <c:v>Cross Site Scripting (XSS)</c:v>
                </c:pt>
                <c:pt idx="7">
                  <c:v>Server Side Code Injection</c:v>
                </c:pt>
                <c:pt idx="8">
                  <c:v>JSON Parser Attack</c:v>
                </c:pt>
                <c:pt idx="9">
                  <c:v>Injection Attempt</c:v>
                </c:pt>
                <c:pt idx="10">
                  <c:v>Abuse of Functionality</c:v>
                </c:pt>
                <c:pt idx="11">
                  <c:v>Predictable Resource Location</c:v>
                </c:pt>
                <c:pt idx="12">
                  <c:v>SQL-Injection</c:v>
                </c:pt>
                <c:pt idx="13">
                  <c:v>Other Application Attacks</c:v>
                </c:pt>
                <c:pt idx="14">
                  <c:v>Non-browser Client</c:v>
                </c:pt>
                <c:pt idx="15">
                  <c:v>Trojan/Backdoor/Spyware</c:v>
                </c:pt>
                <c:pt idx="16">
                  <c:v>Authentication/Authorization Attacks</c:v>
                </c:pt>
                <c:pt idx="17">
                  <c:v>Command Execution</c:v>
                </c:pt>
                <c:pt idx="18">
                  <c:v>XML Parser Attack</c:v>
                </c:pt>
                <c:pt idx="19">
                  <c:v>Remote File Include</c:v>
                </c:pt>
                <c:pt idx="20">
                  <c:v>Vulnerability Scan</c:v>
                </c:pt>
                <c:pt idx="21">
                  <c:v>Denial of Service</c:v>
                </c:pt>
                <c:pt idx="22">
                  <c:v>Server-Side Request Forgery (SSRF)</c:v>
                </c:pt>
                <c:pt idx="23">
                  <c:v>HTTP Response Splitting</c:v>
                </c:pt>
                <c:pt idx="24">
                  <c:v>Malicious File Upload</c:v>
                </c:pt>
                <c:pt idx="25">
                  <c:v>LDAP Injection</c:v>
                </c:pt>
                <c:pt idx="26">
                  <c:v>Session Hijacking</c:v>
                </c:pt>
                <c:pt idx="27">
                  <c:v>Parameter Tampering</c:v>
                </c:pt>
                <c:pt idx="28">
                  <c:v>Cross-site Request Forgery</c:v>
                </c:pt>
                <c:pt idx="29">
                  <c:v>Other Application Activity</c:v>
                </c:pt>
              </c:strCache>
            </c:strRef>
          </c:cat>
          <c:val>
            <c:numRef>
              <c:f>'Summary Dashboard IKY'!$B$2:$B$31</c:f>
              <c:numCache>
                <c:formatCode>General</c:formatCode>
                <c:ptCount val="30"/>
                <c:pt idx="0">
                  <c:v>1248639</c:v>
                </c:pt>
                <c:pt idx="1">
                  <c:v>1162685</c:v>
                </c:pt>
                <c:pt idx="2">
                  <c:v>1140325</c:v>
                </c:pt>
                <c:pt idx="3">
                  <c:v>1120404</c:v>
                </c:pt>
                <c:pt idx="4">
                  <c:v>686795</c:v>
                </c:pt>
                <c:pt idx="5">
                  <c:v>669731</c:v>
                </c:pt>
                <c:pt idx="6">
                  <c:v>652910</c:v>
                </c:pt>
                <c:pt idx="7">
                  <c:v>651316</c:v>
                </c:pt>
                <c:pt idx="8">
                  <c:v>629230</c:v>
                </c:pt>
                <c:pt idx="9">
                  <c:v>598360</c:v>
                </c:pt>
                <c:pt idx="10">
                  <c:v>591797</c:v>
                </c:pt>
                <c:pt idx="11">
                  <c:v>590340</c:v>
                </c:pt>
                <c:pt idx="12">
                  <c:v>579680</c:v>
                </c:pt>
                <c:pt idx="13">
                  <c:v>565799</c:v>
                </c:pt>
                <c:pt idx="14">
                  <c:v>471591</c:v>
                </c:pt>
                <c:pt idx="15">
                  <c:v>441006</c:v>
                </c:pt>
                <c:pt idx="16">
                  <c:v>441001</c:v>
                </c:pt>
                <c:pt idx="17">
                  <c:v>410732</c:v>
                </c:pt>
                <c:pt idx="18">
                  <c:v>401419</c:v>
                </c:pt>
                <c:pt idx="19">
                  <c:v>395683</c:v>
                </c:pt>
                <c:pt idx="20">
                  <c:v>313918</c:v>
                </c:pt>
                <c:pt idx="21">
                  <c:v>296345</c:v>
                </c:pt>
                <c:pt idx="22">
                  <c:v>277022</c:v>
                </c:pt>
                <c:pt idx="23">
                  <c:v>250251</c:v>
                </c:pt>
                <c:pt idx="24">
                  <c:v>169468</c:v>
                </c:pt>
                <c:pt idx="25">
                  <c:v>148760</c:v>
                </c:pt>
                <c:pt idx="26">
                  <c:v>139152</c:v>
                </c:pt>
                <c:pt idx="27">
                  <c:v>128061</c:v>
                </c:pt>
                <c:pt idx="28">
                  <c:v>105323</c:v>
                </c:pt>
                <c:pt idx="29" c:formatCode="#,##0">
                  <c:v>37257</c:v>
                </c:pt>
              </c:numCache>
            </c:numRef>
          </c:val>
        </c:ser>
        <c:dLbls>
          <c:showLegendKey val="0"/>
          <c:showVal val="0"/>
          <c:showCatName val="0"/>
          <c:showSerName val="0"/>
          <c:showPercent val="0"/>
          <c:showBubbleSize val="0"/>
          <c:showLeaderLines val="1"/>
        </c:dLbls>
        <c:firstSliceAng val="0"/>
      </c:pieChart>
    </c:plotArea>
    <c:legend>
      <c:legendPos val="r"/>
      <c:layout>
        <c:manualLayout>
          <c:xMode val="edge"/>
          <c:yMode val="edge"/>
          <c:x val="0.676180522498637"/>
          <c:y val="0.154215173245407"/>
          <c:w val="0.319327675029588"/>
          <c:h val="0.843651353905456"/>
        </c:manualLayout>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1"/>
    <c:extLst>
      <c:ext uri="{0b15fc19-7d7d-44ad-8c2d-2c3a37ce22c3}">
        <chartProps xmlns="https://web.wps.cn/et/2018/main" chartId="{d49f8357-6ba7-42e3-97ef-1b755e054b75}"/>
      </c:ext>
    </c:extLst>
  </c:chart>
  <c:txPr>
    <a:bodyPr/>
    <a:lstStyle/>
    <a:p>
      <a:pPr>
        <a:defRPr lang="en-GB"/>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lang="en-US"/>
              <a:t>High vs Critical Attack Counts</a:t>
            </a:r>
            <a:endParaRPr lang="en-US"/>
          </a:p>
        </c:rich>
      </c:tx>
      <c:layout/>
      <c:overlay val="0"/>
    </c:title>
    <c:autoTitleDeleted val="0"/>
    <c:plotArea>
      <c:layout/>
      <c:barChart>
        <c:barDir val="col"/>
        <c:grouping val="clustered"/>
        <c:varyColors val="0"/>
        <c:ser>
          <c:idx val="0"/>
          <c:order val="0"/>
          <c:spPr>
            <a:solidFill>
              <a:srgbClr val="C00000"/>
            </a:solidFill>
            <a:ln>
              <a:noFill/>
              <a:prstDash val="solid"/>
            </a:ln>
          </c:spPr>
          <c:invertIfNegative val="0"/>
          <c:dPt>
            <c:idx val="1"/>
            <c:invertIfNegative val="0"/>
            <c:bubble3D val="0"/>
            <c:spPr>
              <a:solidFill>
                <a:srgbClr val="FF0000"/>
              </a:solidFill>
              <a:ln>
                <a:noFill/>
                <a:prstDash val="solid"/>
              </a:ln>
            </c:spPr>
          </c:dPt>
          <c:dLbls>
            <c:delete val="1"/>
          </c:dLbls>
          <c:cat>
            <c:numRef>
              <c:f>'Summary Dashboard IKY'!#REF!</c:f>
              <c:numCache>
                <c:ptCount val="0"/>
              </c:numCache>
            </c:numRef>
          </c:cat>
          <c:val>
            <c:numRef>
              <c:f>'Summary Dashboard IKY'!$AI$2:$AI$3</c:f>
              <c:numCache>
                <c:formatCode>General</c:formatCode>
                <c:ptCount val="2"/>
              </c:numCache>
            </c:numRef>
          </c:val>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Severity</a:t>
                </a:r>
                <a:endParaRPr lang="en-US"/>
              </a:p>
            </c:rich>
          </c:tx>
          <c:layout/>
          <c:overlay val="0"/>
        </c:title>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00"/>
        <c:crosses val="autoZero"/>
        <c:auto val="0"/>
        <c:lblAlgn val="ctr"/>
        <c:lblOffset val="100"/>
        <c:noMultiLvlLbl val="0"/>
      </c:catAx>
      <c:valAx>
        <c:axId val="100"/>
        <c:scaling>
          <c:orientation val="minMax"/>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Count</a:t>
                </a:r>
                <a:endParaRPr lang="en-US"/>
              </a:p>
            </c:rich>
          </c:tx>
          <c:layout/>
          <c:overlay val="0"/>
        </c:title>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0"/>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1"/>
    <c:extLst>
      <c:ext uri="{0b15fc19-7d7d-44ad-8c2d-2c3a37ce22c3}">
        <chartProps xmlns="https://web.wps.cn/et/2018/main" chartId="{59d5f516-3ae0-442a-8d8b-c033964c5a1d}"/>
      </c:ext>
    </c:extLst>
  </c:chart>
  <c:txPr>
    <a:bodyPr/>
    <a:lstStyle/>
    <a:p>
      <a:pPr>
        <a:defRPr lang="en-GB"/>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GB" sz="1800" b="1" i="0" u="none" strike="noStrike" kern="1200" baseline="0">
                <a:solidFill>
                  <a:schemeClr val="tx1"/>
                </a:solidFill>
                <a:latin typeface="+mn-lt"/>
                <a:ea typeface="+mn-ea"/>
                <a:cs typeface="+mn-cs"/>
              </a:defRPr>
            </a:pPr>
            <a:r>
              <a:rPr lang="en-US"/>
              <a:t>Incident Counts by Attack Type (VGC LTM)</a:t>
            </a:r>
            <a:endParaRPr lang="en-US"/>
          </a:p>
        </c:rich>
      </c:tx>
      <c:layout/>
      <c:overlay val="0"/>
    </c:title>
    <c:autoTitleDeleted val="0"/>
    <c:plotArea>
      <c:layout/>
      <c:barChart>
        <c:barDir val="bar"/>
        <c:grouping val="clustered"/>
        <c:varyColors val="0"/>
        <c:ser>
          <c:idx val="0"/>
          <c:order val="0"/>
          <c:spPr>
            <a:solidFill>
              <a:srgbClr val="DC2626"/>
            </a:solidFill>
            <a:ln>
              <a:noFill/>
              <a:prstDash val="solid"/>
            </a:ln>
          </c:spPr>
          <c:invertIfNegative val="0"/>
          <c:dPt>
            <c:idx val="0"/>
            <c:invertIfNegative val="0"/>
            <c:bubble3D val="0"/>
            <c:spPr>
              <a:ln>
                <a:noFill/>
                <a:prstDash val="solid"/>
              </a:ln>
            </c:spPr>
          </c:dPt>
          <c:dPt>
            <c:idx val="1"/>
            <c:invertIfNegative val="0"/>
            <c:bubble3D val="0"/>
            <c:spPr>
              <a:solidFill>
                <a:srgbClr val="D97706"/>
              </a:solidFill>
              <a:ln>
                <a:noFill/>
                <a:prstDash val="solid"/>
              </a:ln>
            </c:spPr>
          </c:dPt>
          <c:dPt>
            <c:idx val="2"/>
            <c:invertIfNegative val="0"/>
            <c:bubble3D val="0"/>
            <c:spPr>
              <a:solidFill>
                <a:srgbClr val="888888"/>
              </a:solidFill>
              <a:ln>
                <a:noFill/>
                <a:prstDash val="solid"/>
              </a:ln>
            </c:spPr>
          </c:dPt>
          <c:dPt>
            <c:idx val="3"/>
            <c:invertIfNegative val="0"/>
            <c:bubble3D val="0"/>
            <c:spPr>
              <a:ln>
                <a:noFill/>
                <a:prstDash val="solid"/>
              </a:ln>
            </c:spPr>
          </c:dPt>
          <c:dPt>
            <c:idx val="4"/>
            <c:invertIfNegative val="0"/>
            <c:bubble3D val="0"/>
            <c:spPr>
              <a:solidFill>
                <a:srgbClr val="D97706"/>
              </a:solidFill>
              <a:ln>
                <a:noFill/>
                <a:prstDash val="solid"/>
              </a:ln>
            </c:spPr>
          </c:dPt>
          <c:dPt>
            <c:idx val="5"/>
            <c:invertIfNegative val="0"/>
            <c:bubble3D val="0"/>
            <c:spPr>
              <a:solidFill>
                <a:srgbClr val="888888"/>
              </a:solidFill>
              <a:ln>
                <a:noFill/>
                <a:prstDash val="solid"/>
              </a:ln>
            </c:spPr>
          </c:dPt>
          <c:dPt>
            <c:idx val="6"/>
            <c:invertIfNegative val="0"/>
            <c:bubble3D val="0"/>
            <c:spPr>
              <a:ln>
                <a:noFill/>
                <a:prstDash val="solid"/>
              </a:ln>
            </c:spPr>
          </c:dPt>
          <c:dPt>
            <c:idx val="7"/>
            <c:invertIfNegative val="0"/>
            <c:bubble3D val="0"/>
            <c:spPr>
              <a:solidFill>
                <a:srgbClr val="D97706"/>
              </a:solidFill>
              <a:ln>
                <a:noFill/>
                <a:prstDash val="solid"/>
              </a:ln>
            </c:spPr>
          </c:dPt>
          <c:dLbls>
            <c:spPr>
              <a:noFill/>
              <a:ln>
                <a:noFill/>
                <a:prstDash val="solid"/>
              </a:ln>
              <a:effectLst/>
            </c:spPr>
            <c:txPr>
              <a:bodyPr rot="0" spcFirstLastPara="0" vertOverflow="ellipsis" vert="horz" wrap="square" lIns="38100" tIns="19050" rIns="38100" bIns="19050" anchor="ctr" anchorCtr="1"/>
              <a:lstStyle/>
              <a:p>
                <a:pPr>
                  <a:defRPr lang="en-GB"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Dashboard VGC'!$A$2:$A$15</c:f>
              <c:strCache>
                <c:ptCount val="14"/>
                <c:pt idx="0">
                  <c:v>HTTP Parser Attack</c:v>
                </c:pt>
                <c:pt idx="1">
                  <c:v>Cross Site Scripting (XSS)</c:v>
                </c:pt>
                <c:pt idx="2">
                  <c:v>Forceful Browsing</c:v>
                </c:pt>
                <c:pt idx="3">
                  <c:v>Path Traversal</c:v>
                </c:pt>
                <c:pt idx="4">
                  <c:v>Detection Evasion</c:v>
                </c:pt>
                <c:pt idx="5">
                  <c:v>Injection Attempt</c:v>
                </c:pt>
                <c:pt idx="6">
                  <c:v>Buffer Overflow</c:v>
                </c:pt>
                <c:pt idx="7">
                  <c:v>Server Side Code Injection</c:v>
                </c:pt>
                <c:pt idx="8">
                  <c:v>Information Leakage</c:v>
                </c:pt>
                <c:pt idx="9">
                  <c:v>SQL-Injection</c:v>
                </c:pt>
                <c:pt idx="10">
                  <c:v>Other Application Attacks</c:v>
                </c:pt>
                <c:pt idx="11">
                  <c:v>Authentication/Authorization Attacks</c:v>
                </c:pt>
                <c:pt idx="12">
                  <c:v>Predictable Resource Location</c:v>
                </c:pt>
                <c:pt idx="13">
                  <c:v>LDAP Injection</c:v>
                </c:pt>
              </c:strCache>
            </c:strRef>
          </c:cat>
          <c:val>
            <c:numRef>
              <c:f>'Summary Dashboard VGC'!$B$2:$B$15</c:f>
              <c:numCache>
                <c:formatCode>General</c:formatCode>
                <c:ptCount val="14"/>
                <c:pt idx="0">
                  <c:v>14378</c:v>
                </c:pt>
                <c:pt idx="1">
                  <c:v>9043</c:v>
                </c:pt>
                <c:pt idx="2">
                  <c:v>8863</c:v>
                </c:pt>
                <c:pt idx="3">
                  <c:v>8515</c:v>
                </c:pt>
                <c:pt idx="4">
                  <c:v>8486</c:v>
                </c:pt>
                <c:pt idx="5">
                  <c:v>8459</c:v>
                </c:pt>
                <c:pt idx="6">
                  <c:v>8322</c:v>
                </c:pt>
                <c:pt idx="7">
                  <c:v>6904</c:v>
                </c:pt>
                <c:pt idx="8">
                  <c:v>6802</c:v>
                </c:pt>
                <c:pt idx="9">
                  <c:v>6204</c:v>
                </c:pt>
                <c:pt idx="10">
                  <c:v>6102</c:v>
                </c:pt>
                <c:pt idx="11">
                  <c:v>5362</c:v>
                </c:pt>
                <c:pt idx="12">
                  <c:v>5251</c:v>
                </c:pt>
                <c:pt idx="13">
                  <c:v>4242</c:v>
                </c:pt>
              </c:numCache>
            </c:numRef>
          </c:val>
        </c:ser>
        <c:dLbls>
          <c:showLegendKey val="0"/>
          <c:showVal val="1"/>
          <c:showCatName val="0"/>
          <c:showSerName val="0"/>
          <c:showPercent val="0"/>
          <c:showBubbleSize val="0"/>
        </c:dLbls>
        <c:gapWidth val="150"/>
        <c:axId val="2094734554"/>
        <c:axId val="2094734552"/>
      </c:barChart>
      <c:catAx>
        <c:axId val="2094734554"/>
        <c:scaling>
          <c:orientation val="minMax"/>
        </c:scaling>
        <c:delete val="0"/>
        <c:axPos val="l"/>
        <c:numFmt formatCode="General" sourceLinked="1"/>
        <c:majorTickMark val="out"/>
        <c:minorTickMark val="none"/>
        <c:tickLblPos val="nextTo"/>
        <c:spPr>
          <a:ln w="12700" cap="flat" cmpd="sng" algn="ctr">
            <a:solidFill>
              <a:srgbClr val="888888"/>
            </a:solidFill>
            <a:prstDash val="solid"/>
            <a:round/>
          </a:ln>
        </c:spPr>
        <c:txPr>
          <a:bodyPr rot="-60000000" spcFirstLastPara="0" vertOverflow="ellipsis" vert="horz" wrap="square" anchor="ctr" anchorCtr="1"/>
          <a:lstStyle/>
          <a:p>
            <a:pPr>
              <a:defRPr lang="en-GB" sz="1000" b="0" i="0" u="none" strike="noStrike" kern="1200" baseline="0">
                <a:solidFill>
                  <a:schemeClr val="tx1"/>
                </a:solidFill>
                <a:latin typeface="+mn-lt"/>
                <a:ea typeface="+mn-ea"/>
                <a:cs typeface="+mn-cs"/>
              </a:defRPr>
            </a:pPr>
          </a:p>
        </c:txPr>
        <c:crossAx val="2094734552"/>
        <c:crosses val="autoZero"/>
        <c:auto val="1"/>
        <c:lblAlgn val="ctr"/>
        <c:lblOffset val="100"/>
        <c:noMultiLvlLbl val="1"/>
      </c:catAx>
      <c:valAx>
        <c:axId val="2094734552"/>
        <c:scaling>
          <c:orientation val="minMax"/>
        </c:scaling>
        <c:delete val="0"/>
        <c:axPos val="b"/>
        <c:majorGridlines>
          <c:spPr>
            <a:ln w="6350" cap="flat" cmpd="sng" algn="ctr">
              <a:solidFill>
                <a:srgbClr val="F0F0F0"/>
              </a:solidFill>
              <a:prstDash val="solid"/>
              <a:round/>
            </a:ln>
          </c:spPr>
        </c:majorGridlines>
        <c:numFmt formatCode="General" sourceLinked="0"/>
        <c:majorTickMark val="out"/>
        <c:minorTickMark val="none"/>
        <c:tickLblPos val="low"/>
        <c:spPr>
          <a:ln w="12700" cap="flat" cmpd="sng" algn="ctr">
            <a:solidFill>
              <a:srgbClr val="888888"/>
            </a:solidFill>
            <a:prstDash val="solid"/>
            <a:round/>
          </a:ln>
        </c:spPr>
        <c:txPr>
          <a:bodyPr rot="-60000000" spcFirstLastPara="0" vertOverflow="ellipsis" vert="horz" wrap="square" anchor="ctr" anchorCtr="1"/>
          <a:lstStyle/>
          <a:p>
            <a:pPr>
              <a:defRPr lang="en-GB" sz="1000" b="0" i="0" u="none" strike="noStrike" kern="1200" baseline="0">
                <a:solidFill>
                  <a:schemeClr val="tx1"/>
                </a:solidFill>
                <a:latin typeface="+mn-lt"/>
                <a:ea typeface="+mn-ea"/>
                <a:cs typeface="+mn-cs"/>
              </a:defRPr>
            </a:pPr>
          </a:p>
        </c:txPr>
        <c:crossAx val="2094734554"/>
        <c:crosses val="autoZero"/>
        <c:crossBetween val="between"/>
      </c:valAx>
    </c:plotArea>
    <c:plotVisOnly val="1"/>
    <c:dispBlanksAs val="span"/>
    <c:showDLblsOverMax val="1"/>
    <c:extLst>
      <c:ext uri="{0b15fc19-7d7d-44ad-8c2d-2c3a37ce22c3}">
        <chartProps xmlns="https://web.wps.cn/et/2018/main" chartId="{69fd1de1-d2f8-4f4c-975f-1c6c0faf6c9d}"/>
      </c:ext>
    </c:extLst>
  </c:chart>
  <c:spPr>
    <a:solidFill>
      <a:srgbClr val="FFFFFF"/>
    </a:solidFill>
    <a:ln w="9525" cap="flat" cmpd="sng" algn="ctr">
      <a:noFill/>
      <a:prstDash val="solid"/>
      <a:round/>
    </a:ln>
  </c:spPr>
  <c:txPr>
    <a:bodyPr/>
    <a:lstStyle/>
    <a:p>
      <a:pPr>
        <a:defRPr lang="en-GB"/>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lang="en-US"/>
              <a:t>High Severity Attack Distribution (VGC LTM)</a:t>
            </a:r>
            <a:endParaRPr lang="en-US"/>
          </a:p>
        </c:rich>
      </c:tx>
      <c:layout/>
      <c:overlay val="0"/>
    </c:title>
    <c:autoTitleDeleted val="0"/>
    <c:plotArea>
      <c:layout/>
      <c:pieChart>
        <c:varyColors val="1"/>
        <c:ser>
          <c:idx val="0"/>
          <c:order val="0"/>
          <c:spPr>
            <a:ln>
              <a:noFill/>
              <a:prstDash val="solid"/>
            </a:ln>
          </c:spPr>
          <c:explosion val="0"/>
          <c:dPt>
            <c:idx val="0"/>
            <c:bubble3D val="0"/>
            <c:spPr>
              <a:ln>
                <a:noFill/>
                <a:prstDash val="solid"/>
              </a:ln>
            </c:spPr>
          </c:dPt>
          <c:dPt>
            <c:idx val="1"/>
            <c:bubble3D val="0"/>
            <c:spPr>
              <a:ln>
                <a:noFill/>
                <a:prstDash val="solid"/>
              </a:ln>
            </c:spPr>
          </c:dPt>
          <c:dPt>
            <c:idx val="2"/>
            <c:bubble3D val="0"/>
            <c:spPr>
              <a:ln>
                <a:noFill/>
                <a:prstDash val="solid"/>
              </a:ln>
            </c:spPr>
          </c:dPt>
          <c:dPt>
            <c:idx val="3"/>
            <c:bubble3D val="0"/>
            <c:spPr>
              <a:ln>
                <a:noFill/>
                <a:prstDash val="solid"/>
              </a:ln>
            </c:spPr>
          </c:dPt>
          <c:dPt>
            <c:idx val="4"/>
            <c:bubble3D val="0"/>
            <c:spPr>
              <a:ln>
                <a:noFill/>
                <a:prstDash val="solid"/>
              </a:ln>
            </c:spPr>
          </c:dPt>
          <c:dPt>
            <c:idx val="5"/>
            <c:bubble3D val="0"/>
            <c:spPr>
              <a:ln>
                <a:noFill/>
                <a:prstDash val="solid"/>
              </a:ln>
            </c:spPr>
          </c:dPt>
          <c:dPt>
            <c:idx val="6"/>
            <c:bubble3D val="0"/>
            <c:spPr>
              <a:ln>
                <a:noFill/>
                <a:prstDash val="solid"/>
              </a:ln>
            </c:spPr>
          </c:dPt>
          <c:dPt>
            <c:idx val="7"/>
            <c:bubble3D val="0"/>
            <c:spPr>
              <a:ln>
                <a:noFill/>
                <a:prstDash val="solid"/>
              </a:ln>
            </c:spPr>
          </c:dPt>
          <c:dPt>
            <c:idx val="8"/>
            <c:bubble3D val="0"/>
            <c:spPr>
              <a:ln>
                <a:noFill/>
                <a:prstDash val="solid"/>
              </a:ln>
            </c:spPr>
          </c:dPt>
          <c:dPt>
            <c:idx val="9"/>
            <c:bubble3D val="0"/>
            <c:spPr>
              <a:ln>
                <a:noFill/>
                <a:prstDash val="solid"/>
              </a:ln>
            </c:spPr>
          </c:dPt>
          <c:dPt>
            <c:idx val="10"/>
            <c:bubble3D val="0"/>
            <c:spPr>
              <a:ln>
                <a:noFill/>
                <a:prstDash val="solid"/>
              </a:ln>
            </c:spPr>
          </c:dPt>
          <c:dPt>
            <c:idx val="11"/>
            <c:bubble3D val="0"/>
            <c:spPr>
              <a:ln>
                <a:noFill/>
                <a:prstDash val="solid"/>
              </a:ln>
            </c:spPr>
          </c:dPt>
          <c:dPt>
            <c:idx val="12"/>
            <c:bubble3D val="0"/>
            <c:spPr>
              <a:ln>
                <a:noFill/>
                <a:prstDash val="solid"/>
              </a:ln>
            </c:spPr>
          </c:dPt>
          <c:dPt>
            <c:idx val="13"/>
            <c:bubble3D val="0"/>
            <c:spPr>
              <a:ln>
                <a:noFill/>
                <a:prstDash val="solid"/>
              </a:ln>
            </c:spPr>
          </c:dPt>
          <c:dPt>
            <c:idx val="14"/>
            <c:bubble3D val="0"/>
            <c:spPr>
              <a:ln>
                <a:noFill/>
                <a:prstDash val="solid"/>
              </a:ln>
            </c:spPr>
          </c:dPt>
          <c:dPt>
            <c:idx val="15"/>
            <c:bubble3D val="0"/>
            <c:spPr>
              <a:ln>
                <a:noFill/>
                <a:prstDash val="solid"/>
              </a:ln>
            </c:spPr>
          </c:dPt>
          <c:dPt>
            <c:idx val="16"/>
            <c:bubble3D val="0"/>
            <c:spPr>
              <a:ln>
                <a:noFill/>
                <a:prstDash val="solid"/>
              </a:ln>
            </c:spPr>
          </c:dPt>
          <c:dPt>
            <c:idx val="17"/>
            <c:bubble3D val="0"/>
            <c:spPr>
              <a:ln>
                <a:noFill/>
                <a:prstDash val="solid"/>
              </a:ln>
            </c:spPr>
          </c:dPt>
          <c:dPt>
            <c:idx val="18"/>
            <c:bubble3D val="0"/>
            <c:spPr>
              <a:ln>
                <a:noFill/>
                <a:prstDash val="solid"/>
              </a:ln>
            </c:spPr>
          </c:dPt>
          <c:dPt>
            <c:idx val="19"/>
            <c:bubble3D val="0"/>
            <c:spPr>
              <a:ln>
                <a:noFill/>
                <a:prstDash val="solid"/>
              </a:ln>
            </c:spPr>
          </c:dPt>
          <c:dPt>
            <c:idx val="20"/>
            <c:bubble3D val="0"/>
            <c:spPr>
              <a:ln>
                <a:noFill/>
                <a:prstDash val="solid"/>
              </a:ln>
            </c:spPr>
          </c:dPt>
          <c:dPt>
            <c:idx val="21"/>
            <c:bubble3D val="0"/>
            <c:spPr>
              <a:ln>
                <a:noFill/>
                <a:prstDash val="solid"/>
              </a:ln>
            </c:spPr>
          </c:dPt>
          <c:dPt>
            <c:idx val="22"/>
            <c:bubble3D val="0"/>
            <c:spPr>
              <a:ln>
                <a:noFill/>
                <a:prstDash val="solid"/>
              </a:ln>
            </c:spPr>
          </c:dPt>
          <c:dPt>
            <c:idx val="23"/>
            <c:bubble3D val="0"/>
            <c:spPr>
              <a:ln>
                <a:noFill/>
                <a:prstDash val="solid"/>
              </a:ln>
            </c:spPr>
          </c:dPt>
          <c:dPt>
            <c:idx val="24"/>
            <c:bubble3D val="0"/>
            <c:spPr>
              <a:ln>
                <a:noFill/>
                <a:prstDash val="solid"/>
              </a:ln>
            </c:spPr>
          </c:dPt>
          <c:dPt>
            <c:idx val="25"/>
            <c:bubble3D val="0"/>
            <c:spPr>
              <a:ln>
                <a:noFill/>
                <a:prstDash val="solid"/>
              </a:ln>
            </c:spPr>
          </c:dPt>
          <c:dLbls>
            <c:delete val="1"/>
          </c:dLbls>
          <c:cat>
            <c:strRef>
              <c:f>'Summary Dashboard VGC'!$A$2:$A$27</c:f>
              <c:strCache>
                <c:ptCount val="26"/>
                <c:pt idx="0">
                  <c:v>HTTP Parser Attack</c:v>
                </c:pt>
                <c:pt idx="1">
                  <c:v>Cross Site Scripting (XSS)</c:v>
                </c:pt>
                <c:pt idx="2">
                  <c:v>Forceful Browsing</c:v>
                </c:pt>
                <c:pt idx="3">
                  <c:v>Path Traversal</c:v>
                </c:pt>
                <c:pt idx="4">
                  <c:v>Detection Evasion</c:v>
                </c:pt>
                <c:pt idx="5">
                  <c:v>Injection Attempt</c:v>
                </c:pt>
                <c:pt idx="6">
                  <c:v>Buffer Overflow</c:v>
                </c:pt>
                <c:pt idx="7">
                  <c:v>Server Side Code Injection</c:v>
                </c:pt>
                <c:pt idx="8">
                  <c:v>Information Leakage</c:v>
                </c:pt>
                <c:pt idx="9">
                  <c:v>SQL-Injection</c:v>
                </c:pt>
                <c:pt idx="10">
                  <c:v>Other Application Attacks</c:v>
                </c:pt>
                <c:pt idx="11">
                  <c:v>Authentication/Authorization Attacks</c:v>
                </c:pt>
                <c:pt idx="12">
                  <c:v>Predictable Resource Location</c:v>
                </c:pt>
                <c:pt idx="13">
                  <c:v>LDAP Injection</c:v>
                </c:pt>
                <c:pt idx="14">
                  <c:v>Denial of Service</c:v>
                </c:pt>
                <c:pt idx="15">
                  <c:v>Trojan/Backdoor/Spyware</c:v>
                </c:pt>
                <c:pt idx="16">
                  <c:v>Session Hijacking</c:v>
                </c:pt>
                <c:pt idx="17">
                  <c:v>Command Execution</c:v>
                </c:pt>
                <c:pt idx="18">
                  <c:v>Remote File Include</c:v>
                </c:pt>
                <c:pt idx="19">
                  <c:v>Other Application Activity</c:v>
                </c:pt>
                <c:pt idx="20">
                  <c:v>Vulnerability Scan</c:v>
                </c:pt>
                <c:pt idx="21">
                  <c:v>HTTP Response Splitting</c:v>
                </c:pt>
                <c:pt idx="22">
                  <c:v>XML Parser Attack</c:v>
                </c:pt>
                <c:pt idx="23">
                  <c:v>Non-browser Client</c:v>
                </c:pt>
                <c:pt idx="24">
                  <c:v>Abuse of Functionality</c:v>
                </c:pt>
                <c:pt idx="25">
                  <c:v>Server-Side Request Forgery (SSRF)</c:v>
                </c:pt>
              </c:strCache>
            </c:strRef>
          </c:cat>
          <c:val>
            <c:numRef>
              <c:f>'Summary Dashboard VGC'!$B$2:$B$27</c:f>
              <c:numCache>
                <c:formatCode>General</c:formatCode>
                <c:ptCount val="26"/>
                <c:pt idx="0">
                  <c:v>14378</c:v>
                </c:pt>
                <c:pt idx="1">
                  <c:v>9043</c:v>
                </c:pt>
                <c:pt idx="2">
                  <c:v>8863</c:v>
                </c:pt>
                <c:pt idx="3">
                  <c:v>8515</c:v>
                </c:pt>
                <c:pt idx="4">
                  <c:v>8486</c:v>
                </c:pt>
                <c:pt idx="5">
                  <c:v>8459</c:v>
                </c:pt>
                <c:pt idx="6">
                  <c:v>8322</c:v>
                </c:pt>
                <c:pt idx="7">
                  <c:v>6904</c:v>
                </c:pt>
                <c:pt idx="8">
                  <c:v>6802</c:v>
                </c:pt>
                <c:pt idx="9">
                  <c:v>6204</c:v>
                </c:pt>
                <c:pt idx="10">
                  <c:v>6102</c:v>
                </c:pt>
                <c:pt idx="11">
                  <c:v>5362</c:v>
                </c:pt>
                <c:pt idx="12">
                  <c:v>5251</c:v>
                </c:pt>
                <c:pt idx="13">
                  <c:v>4242</c:v>
                </c:pt>
                <c:pt idx="14">
                  <c:v>3092</c:v>
                </c:pt>
                <c:pt idx="15">
                  <c:v>2944</c:v>
                </c:pt>
                <c:pt idx="16">
                  <c:v>2395</c:v>
                </c:pt>
                <c:pt idx="17">
                  <c:v>2262</c:v>
                </c:pt>
                <c:pt idx="18">
                  <c:v>1824</c:v>
                </c:pt>
                <c:pt idx="19">
                  <c:v>1824</c:v>
                </c:pt>
                <c:pt idx="20">
                  <c:v>1714</c:v>
                </c:pt>
                <c:pt idx="21">
                  <c:v>1713</c:v>
                </c:pt>
                <c:pt idx="22">
                  <c:v>1708</c:v>
                </c:pt>
                <c:pt idx="23">
                  <c:v>936</c:v>
                </c:pt>
                <c:pt idx="24">
                  <c:v>335</c:v>
                </c:pt>
                <c:pt idx="25">
                  <c:v>311</c:v>
                </c:pt>
              </c:numCache>
            </c:numRef>
          </c:val>
        </c:ser>
        <c:dLbls>
          <c:showLegendKey val="0"/>
          <c:showVal val="0"/>
          <c:showCatName val="0"/>
          <c:showSerName val="0"/>
          <c:showPercent val="0"/>
          <c:showBubbleSize val="0"/>
          <c:showLeaderLines val="1"/>
        </c:dLbls>
        <c:firstSliceAng val="0"/>
      </c:pieChart>
    </c:plotArea>
    <c:legend>
      <c:legendPos val="r"/>
      <c:layout>
        <c:manualLayout>
          <c:xMode val="edge"/>
          <c:yMode val="edge"/>
          <c:x val="0.676180522498637"/>
          <c:y val="0.154215173245407"/>
          <c:w val="0.319327675029588"/>
          <c:h val="0.843651353905456"/>
        </c:manualLayout>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1"/>
    <c:extLst>
      <c:ext uri="{0b15fc19-7d7d-44ad-8c2d-2c3a37ce22c3}">
        <chartProps xmlns="https://web.wps.cn/et/2018/main" chartId="{f6e0a88d-645c-4a60-8278-5cfeab3dcabc}"/>
      </c:ext>
    </c:extLst>
  </c:chart>
  <c:txPr>
    <a:bodyPr/>
    <a:lstStyle/>
    <a:p>
      <a:pPr>
        <a:defRPr lang="en-GB"/>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lang="en-US"/>
              <a:t>High vs Critical Attack Counts</a:t>
            </a:r>
            <a:endParaRPr lang="en-US"/>
          </a:p>
        </c:rich>
      </c:tx>
      <c:layout/>
      <c:overlay val="0"/>
    </c:title>
    <c:autoTitleDeleted val="0"/>
    <c:plotArea>
      <c:layout/>
      <c:barChart>
        <c:barDir val="col"/>
        <c:grouping val="clustered"/>
        <c:varyColors val="0"/>
        <c:ser>
          <c:idx val="0"/>
          <c:order val="0"/>
          <c:spPr>
            <a:solidFill>
              <a:srgbClr val="C00000"/>
            </a:solidFill>
            <a:ln>
              <a:noFill/>
              <a:prstDash val="solid"/>
            </a:ln>
          </c:spPr>
          <c:invertIfNegative val="0"/>
          <c:dPt>
            <c:idx val="1"/>
            <c:invertIfNegative val="0"/>
            <c:bubble3D val="0"/>
            <c:spPr>
              <a:solidFill>
                <a:srgbClr val="FF0000"/>
              </a:solidFill>
              <a:ln>
                <a:noFill/>
                <a:prstDash val="solid"/>
              </a:ln>
            </c:spPr>
          </c:dPt>
          <c:dLbls>
            <c:delete val="1"/>
          </c:dLbls>
          <c:cat>
            <c:numRef>
              <c:f>'Summary Dashboard VGC'!$I$67:$I$68</c:f>
              <c:numCache>
                <c:formatCode>General</c:formatCode>
                <c:ptCount val="2"/>
              </c:numCache>
            </c:numRef>
          </c:cat>
          <c:val>
            <c:numRef>
              <c:f>'Summary Dashboard VGC'!$J$67:$J$68</c:f>
              <c:numCache>
                <c:formatCode>General</c:formatCode>
                <c:ptCount val="2"/>
              </c:numCache>
            </c:numRef>
          </c:val>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Severity</a:t>
                </a:r>
                <a:endParaRPr lang="en-US"/>
              </a:p>
            </c:rich>
          </c:tx>
          <c:layout/>
          <c:overlay val="0"/>
        </c:title>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00"/>
        <c:crosses val="autoZero"/>
        <c:auto val="0"/>
        <c:lblAlgn val="ctr"/>
        <c:lblOffset val="100"/>
        <c:noMultiLvlLbl val="0"/>
      </c:catAx>
      <c:valAx>
        <c:axId val="100"/>
        <c:scaling>
          <c:orientation val="minMax"/>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Count</a:t>
                </a:r>
                <a:endParaRPr lang="en-US"/>
              </a:p>
            </c:rich>
          </c:tx>
          <c:layout/>
          <c:overlay val="0"/>
        </c:title>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0"/>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1"/>
    <c:extLst>
      <c:ext uri="{0b15fc19-7d7d-44ad-8c2d-2c3a37ce22c3}">
        <chartProps xmlns="https://web.wps.cn/et/2018/main" chartId="{b0dae996-3f40-419b-9dc3-2a7bf037dcf9}"/>
      </c:ext>
    </c:extLst>
  </c:chart>
  <c:txPr>
    <a:bodyPr/>
    <a:lstStyle/>
    <a:p>
      <a:pPr>
        <a:defRPr lang="en-GB"/>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GB" sz="1800" b="1" i="0" u="none" strike="noStrike" kern="1200" baseline="0">
                <a:solidFill>
                  <a:schemeClr val="tx1"/>
                </a:solidFill>
                <a:latin typeface="+mn-lt"/>
                <a:ea typeface="+mn-ea"/>
                <a:cs typeface="+mn-cs"/>
              </a:defRPr>
            </a:pPr>
            <a:r>
              <a:rPr lang="en-US"/>
              <a:t>Incident Counts by Attack Type (VGC LTM)</a:t>
            </a:r>
            <a:endParaRPr lang="en-US"/>
          </a:p>
        </c:rich>
      </c:tx>
      <c:layout/>
      <c:overlay val="0"/>
    </c:title>
    <c:autoTitleDeleted val="0"/>
    <c:plotArea>
      <c:layout/>
      <c:barChart>
        <c:barDir val="bar"/>
        <c:grouping val="clustered"/>
        <c:varyColors val="0"/>
        <c:ser>
          <c:idx val="0"/>
          <c:order val="0"/>
          <c:spPr>
            <a:solidFill>
              <a:srgbClr val="DC2626"/>
            </a:solidFill>
            <a:ln>
              <a:noFill/>
              <a:prstDash val="solid"/>
            </a:ln>
          </c:spPr>
          <c:invertIfNegative val="0"/>
          <c:dPt>
            <c:idx val="0"/>
            <c:invertIfNegative val="0"/>
            <c:bubble3D val="0"/>
            <c:spPr>
              <a:ln>
                <a:noFill/>
                <a:prstDash val="solid"/>
              </a:ln>
            </c:spPr>
          </c:dPt>
          <c:dPt>
            <c:idx val="1"/>
            <c:invertIfNegative val="0"/>
            <c:bubble3D val="0"/>
            <c:spPr>
              <a:solidFill>
                <a:srgbClr val="D97706"/>
              </a:solidFill>
              <a:ln>
                <a:noFill/>
                <a:prstDash val="solid"/>
              </a:ln>
            </c:spPr>
          </c:dPt>
          <c:dPt>
            <c:idx val="2"/>
            <c:invertIfNegative val="0"/>
            <c:bubble3D val="0"/>
            <c:spPr>
              <a:solidFill>
                <a:srgbClr val="888888"/>
              </a:solidFill>
              <a:ln>
                <a:noFill/>
                <a:prstDash val="solid"/>
              </a:ln>
            </c:spPr>
          </c:dPt>
          <c:dPt>
            <c:idx val="3"/>
            <c:invertIfNegative val="0"/>
            <c:bubble3D val="0"/>
            <c:spPr>
              <a:ln>
                <a:noFill/>
                <a:prstDash val="solid"/>
              </a:ln>
            </c:spPr>
          </c:dPt>
          <c:dPt>
            <c:idx val="4"/>
            <c:invertIfNegative val="0"/>
            <c:bubble3D val="0"/>
            <c:spPr>
              <a:solidFill>
                <a:srgbClr val="D97706"/>
              </a:solidFill>
              <a:ln>
                <a:noFill/>
                <a:prstDash val="solid"/>
              </a:ln>
            </c:spPr>
          </c:dPt>
          <c:dPt>
            <c:idx val="5"/>
            <c:invertIfNegative val="0"/>
            <c:bubble3D val="0"/>
            <c:spPr>
              <a:solidFill>
                <a:srgbClr val="888888"/>
              </a:solidFill>
              <a:ln>
                <a:noFill/>
                <a:prstDash val="solid"/>
              </a:ln>
            </c:spPr>
          </c:dPt>
          <c:dPt>
            <c:idx val="6"/>
            <c:invertIfNegative val="0"/>
            <c:bubble3D val="0"/>
            <c:spPr>
              <a:ln>
                <a:noFill/>
                <a:prstDash val="solid"/>
              </a:ln>
            </c:spPr>
          </c:dPt>
          <c:dPt>
            <c:idx val="7"/>
            <c:invertIfNegative val="0"/>
            <c:bubble3D val="0"/>
            <c:spPr>
              <a:solidFill>
                <a:srgbClr val="D97706"/>
              </a:solidFill>
              <a:ln>
                <a:noFill/>
                <a:prstDash val="solid"/>
              </a:ln>
            </c:spPr>
          </c:dPt>
          <c:dLbls>
            <c:spPr>
              <a:noFill/>
              <a:ln>
                <a:noFill/>
                <a:prstDash val="solid"/>
              </a:ln>
              <a:effectLst/>
            </c:spPr>
            <c:txPr>
              <a:bodyPr rot="0" spcFirstLastPara="0" vertOverflow="ellipsis" vert="horz" wrap="square" lIns="38100" tIns="19050" rIns="38100" bIns="19050" anchor="ctr" anchorCtr="1"/>
              <a:lstStyle/>
              <a:p>
                <a:pPr>
                  <a:defRPr lang="en-GB"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Dashboard OJT'!$A$2:$A$15</c:f>
              <c:strCache>
                <c:ptCount val="14"/>
                <c:pt idx="0">
                  <c:v>HTTP Parser Attack</c:v>
                </c:pt>
                <c:pt idx="1">
                  <c:v>Path Traversal</c:v>
                </c:pt>
                <c:pt idx="2">
                  <c:v>Detection Evasion</c:v>
                </c:pt>
                <c:pt idx="3">
                  <c:v>Injection Attempt</c:v>
                </c:pt>
                <c:pt idx="4">
                  <c:v>Cross Site Scripting (XSS)</c:v>
                </c:pt>
                <c:pt idx="5">
                  <c:v>Server Side Code Injection</c:v>
                </c:pt>
                <c:pt idx="6">
                  <c:v>Other Application Attacks</c:v>
                </c:pt>
                <c:pt idx="7">
                  <c:v>Predictable Resource Location</c:v>
                </c:pt>
                <c:pt idx="8">
                  <c:v>SQL-Injection</c:v>
                </c:pt>
                <c:pt idx="9">
                  <c:v>Information Leakage</c:v>
                </c:pt>
                <c:pt idx="10">
                  <c:v>Remote File Include</c:v>
                </c:pt>
                <c:pt idx="11">
                  <c:v>Abuse of Functionality</c:v>
                </c:pt>
                <c:pt idx="12">
                  <c:v>Command Execution</c:v>
                </c:pt>
                <c:pt idx="13">
                  <c:v>Denial of Service</c:v>
                </c:pt>
              </c:strCache>
            </c:strRef>
          </c:cat>
          <c:val>
            <c:numRef>
              <c:f>'Summary Dashboard OJT'!$B$2:$B$15</c:f>
              <c:numCache>
                <c:formatCode>General</c:formatCode>
                <c:ptCount val="14"/>
                <c:pt idx="0">
                  <c:v>358562</c:v>
                </c:pt>
                <c:pt idx="1">
                  <c:v>345690</c:v>
                </c:pt>
                <c:pt idx="2">
                  <c:v>340328</c:v>
                </c:pt>
                <c:pt idx="3">
                  <c:v>336685</c:v>
                </c:pt>
                <c:pt idx="4">
                  <c:v>327772</c:v>
                </c:pt>
                <c:pt idx="5">
                  <c:v>322027</c:v>
                </c:pt>
                <c:pt idx="6">
                  <c:v>314995</c:v>
                </c:pt>
                <c:pt idx="7">
                  <c:v>302461</c:v>
                </c:pt>
                <c:pt idx="8">
                  <c:v>299751</c:v>
                </c:pt>
                <c:pt idx="9">
                  <c:v>296904</c:v>
                </c:pt>
                <c:pt idx="10">
                  <c:v>292531</c:v>
                </c:pt>
                <c:pt idx="11">
                  <c:v>288541</c:v>
                </c:pt>
                <c:pt idx="12">
                  <c:v>280485</c:v>
                </c:pt>
                <c:pt idx="13">
                  <c:v>217426</c:v>
                </c:pt>
              </c:numCache>
            </c:numRef>
          </c:val>
        </c:ser>
        <c:dLbls>
          <c:showLegendKey val="0"/>
          <c:showVal val="1"/>
          <c:showCatName val="0"/>
          <c:showSerName val="0"/>
          <c:showPercent val="0"/>
          <c:showBubbleSize val="0"/>
        </c:dLbls>
        <c:gapWidth val="150"/>
        <c:axId val="2094734554"/>
        <c:axId val="2094734552"/>
      </c:barChart>
      <c:catAx>
        <c:axId val="2094734554"/>
        <c:scaling>
          <c:orientation val="minMax"/>
        </c:scaling>
        <c:delete val="0"/>
        <c:axPos val="l"/>
        <c:numFmt formatCode="General" sourceLinked="1"/>
        <c:majorTickMark val="out"/>
        <c:minorTickMark val="none"/>
        <c:tickLblPos val="nextTo"/>
        <c:spPr>
          <a:ln w="12700" cap="flat" cmpd="sng" algn="ctr">
            <a:solidFill>
              <a:srgbClr val="888888"/>
            </a:solidFill>
            <a:prstDash val="solid"/>
            <a:round/>
          </a:ln>
        </c:spPr>
        <c:txPr>
          <a:bodyPr rot="-60000000" spcFirstLastPara="0" vertOverflow="ellipsis" vert="horz" wrap="square" anchor="ctr" anchorCtr="1"/>
          <a:lstStyle/>
          <a:p>
            <a:pPr>
              <a:defRPr lang="en-GB" sz="1000" b="0" i="0" u="none" strike="noStrike" kern="1200" baseline="0">
                <a:solidFill>
                  <a:schemeClr val="tx1"/>
                </a:solidFill>
                <a:latin typeface="+mn-lt"/>
                <a:ea typeface="+mn-ea"/>
                <a:cs typeface="+mn-cs"/>
              </a:defRPr>
            </a:pPr>
          </a:p>
        </c:txPr>
        <c:crossAx val="2094734552"/>
        <c:crosses val="autoZero"/>
        <c:auto val="1"/>
        <c:lblAlgn val="ctr"/>
        <c:lblOffset val="100"/>
        <c:noMultiLvlLbl val="1"/>
      </c:catAx>
      <c:valAx>
        <c:axId val="2094734552"/>
        <c:scaling>
          <c:orientation val="minMax"/>
        </c:scaling>
        <c:delete val="0"/>
        <c:axPos val="b"/>
        <c:majorGridlines>
          <c:spPr>
            <a:ln w="6350" cap="flat" cmpd="sng" algn="ctr">
              <a:solidFill>
                <a:srgbClr val="F0F0F0"/>
              </a:solidFill>
              <a:prstDash val="solid"/>
              <a:round/>
            </a:ln>
          </c:spPr>
        </c:majorGridlines>
        <c:numFmt formatCode="General" sourceLinked="0"/>
        <c:majorTickMark val="out"/>
        <c:minorTickMark val="none"/>
        <c:tickLblPos val="low"/>
        <c:spPr>
          <a:ln w="12700" cap="flat" cmpd="sng" algn="ctr">
            <a:solidFill>
              <a:srgbClr val="888888"/>
            </a:solidFill>
            <a:prstDash val="solid"/>
            <a:round/>
          </a:ln>
        </c:spPr>
        <c:txPr>
          <a:bodyPr rot="-60000000" spcFirstLastPara="0" vertOverflow="ellipsis" vert="horz" wrap="square" anchor="ctr" anchorCtr="1"/>
          <a:lstStyle/>
          <a:p>
            <a:pPr>
              <a:defRPr lang="en-GB" sz="1000" b="0" i="0" u="none" strike="noStrike" kern="1200" baseline="0">
                <a:solidFill>
                  <a:schemeClr val="tx1"/>
                </a:solidFill>
                <a:latin typeface="+mn-lt"/>
                <a:ea typeface="+mn-ea"/>
                <a:cs typeface="+mn-cs"/>
              </a:defRPr>
            </a:pPr>
          </a:p>
        </c:txPr>
        <c:crossAx val="2094734554"/>
        <c:crosses val="autoZero"/>
        <c:crossBetween val="between"/>
      </c:valAx>
    </c:plotArea>
    <c:plotVisOnly val="1"/>
    <c:dispBlanksAs val="span"/>
    <c:showDLblsOverMax val="1"/>
    <c:extLst>
      <c:ext uri="{0b15fc19-7d7d-44ad-8c2d-2c3a37ce22c3}">
        <chartProps xmlns="https://web.wps.cn/et/2018/main" chartId="{b33938ee-8fb3-4740-b121-27efe655579d}"/>
      </c:ext>
    </c:extLst>
  </c:chart>
  <c:spPr>
    <a:solidFill>
      <a:srgbClr val="FFFFFF"/>
    </a:solidFill>
    <a:ln w="9525" cap="flat" cmpd="sng" algn="ctr">
      <a:noFill/>
      <a:prstDash val="solid"/>
      <a:round/>
    </a:ln>
  </c:spPr>
  <c:txPr>
    <a:bodyPr/>
    <a:lstStyle/>
    <a:p>
      <a:pPr>
        <a:defRPr lang="en-GB"/>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lang="en-US"/>
              <a:t>High Severity Attack Distribution (VGC LTM)</a:t>
            </a:r>
            <a:endParaRPr lang="en-US"/>
          </a:p>
        </c:rich>
      </c:tx>
      <c:layout/>
      <c:overlay val="0"/>
    </c:title>
    <c:autoTitleDeleted val="0"/>
    <c:plotArea>
      <c:layout/>
      <c:pieChart>
        <c:varyColors val="1"/>
        <c:ser>
          <c:idx val="0"/>
          <c:order val="0"/>
          <c:spPr>
            <a:ln>
              <a:noFill/>
              <a:prstDash val="solid"/>
            </a:ln>
          </c:spPr>
          <c:explosion val="0"/>
          <c:dPt>
            <c:idx val="0"/>
            <c:bubble3D val="0"/>
            <c:spPr>
              <a:ln>
                <a:noFill/>
                <a:prstDash val="solid"/>
              </a:ln>
            </c:spPr>
          </c:dPt>
          <c:dPt>
            <c:idx val="1"/>
            <c:bubble3D val="0"/>
            <c:spPr>
              <a:ln>
                <a:noFill/>
                <a:prstDash val="solid"/>
              </a:ln>
            </c:spPr>
          </c:dPt>
          <c:dPt>
            <c:idx val="2"/>
            <c:bubble3D val="0"/>
            <c:spPr>
              <a:ln>
                <a:noFill/>
                <a:prstDash val="solid"/>
              </a:ln>
            </c:spPr>
          </c:dPt>
          <c:dPt>
            <c:idx val="3"/>
            <c:bubble3D val="0"/>
            <c:spPr>
              <a:ln>
                <a:noFill/>
                <a:prstDash val="solid"/>
              </a:ln>
            </c:spPr>
          </c:dPt>
          <c:dPt>
            <c:idx val="4"/>
            <c:bubble3D val="0"/>
            <c:spPr>
              <a:ln>
                <a:noFill/>
                <a:prstDash val="solid"/>
              </a:ln>
            </c:spPr>
          </c:dPt>
          <c:dPt>
            <c:idx val="5"/>
            <c:bubble3D val="0"/>
            <c:spPr>
              <a:ln>
                <a:noFill/>
                <a:prstDash val="solid"/>
              </a:ln>
            </c:spPr>
          </c:dPt>
          <c:dPt>
            <c:idx val="6"/>
            <c:bubble3D val="0"/>
            <c:spPr>
              <a:ln>
                <a:noFill/>
                <a:prstDash val="solid"/>
              </a:ln>
            </c:spPr>
          </c:dPt>
          <c:dPt>
            <c:idx val="7"/>
            <c:bubble3D val="0"/>
            <c:spPr>
              <a:ln>
                <a:noFill/>
                <a:prstDash val="solid"/>
              </a:ln>
            </c:spPr>
          </c:dPt>
          <c:dPt>
            <c:idx val="8"/>
            <c:bubble3D val="0"/>
            <c:spPr>
              <a:ln>
                <a:noFill/>
                <a:prstDash val="solid"/>
              </a:ln>
            </c:spPr>
          </c:dPt>
          <c:dPt>
            <c:idx val="9"/>
            <c:bubble3D val="0"/>
            <c:spPr>
              <a:ln>
                <a:noFill/>
                <a:prstDash val="solid"/>
              </a:ln>
            </c:spPr>
          </c:dPt>
          <c:dPt>
            <c:idx val="10"/>
            <c:bubble3D val="0"/>
            <c:spPr>
              <a:ln>
                <a:noFill/>
                <a:prstDash val="solid"/>
              </a:ln>
            </c:spPr>
          </c:dPt>
          <c:dPt>
            <c:idx val="11"/>
            <c:bubble3D val="0"/>
            <c:spPr>
              <a:ln>
                <a:noFill/>
                <a:prstDash val="solid"/>
              </a:ln>
            </c:spPr>
          </c:dPt>
          <c:dPt>
            <c:idx val="12"/>
            <c:bubble3D val="0"/>
            <c:spPr>
              <a:ln>
                <a:noFill/>
                <a:prstDash val="solid"/>
              </a:ln>
            </c:spPr>
          </c:dPt>
          <c:dPt>
            <c:idx val="13"/>
            <c:bubble3D val="0"/>
            <c:spPr>
              <a:ln>
                <a:noFill/>
                <a:prstDash val="solid"/>
              </a:ln>
            </c:spPr>
          </c:dPt>
          <c:dPt>
            <c:idx val="14"/>
            <c:bubble3D val="0"/>
            <c:spPr>
              <a:ln>
                <a:noFill/>
                <a:prstDash val="solid"/>
              </a:ln>
            </c:spPr>
          </c:dPt>
          <c:dPt>
            <c:idx val="15"/>
            <c:bubble3D val="0"/>
            <c:spPr>
              <a:ln>
                <a:noFill/>
                <a:prstDash val="solid"/>
              </a:ln>
            </c:spPr>
          </c:dPt>
          <c:dPt>
            <c:idx val="16"/>
            <c:bubble3D val="0"/>
            <c:spPr>
              <a:ln>
                <a:noFill/>
                <a:prstDash val="solid"/>
              </a:ln>
            </c:spPr>
          </c:dPt>
          <c:dPt>
            <c:idx val="17"/>
            <c:bubble3D val="0"/>
            <c:spPr>
              <a:ln>
                <a:noFill/>
                <a:prstDash val="solid"/>
              </a:ln>
            </c:spPr>
          </c:dPt>
          <c:dPt>
            <c:idx val="18"/>
            <c:bubble3D val="0"/>
            <c:spPr>
              <a:ln>
                <a:noFill/>
                <a:prstDash val="solid"/>
              </a:ln>
            </c:spPr>
          </c:dPt>
          <c:dPt>
            <c:idx val="19"/>
            <c:bubble3D val="0"/>
            <c:spPr>
              <a:ln>
                <a:noFill/>
                <a:prstDash val="solid"/>
              </a:ln>
            </c:spPr>
          </c:dPt>
          <c:dPt>
            <c:idx val="20"/>
            <c:bubble3D val="0"/>
            <c:spPr>
              <a:ln>
                <a:noFill/>
                <a:prstDash val="solid"/>
              </a:ln>
            </c:spPr>
          </c:dPt>
          <c:dPt>
            <c:idx val="21"/>
            <c:bubble3D val="0"/>
            <c:spPr>
              <a:ln>
                <a:noFill/>
                <a:prstDash val="solid"/>
              </a:ln>
            </c:spPr>
          </c:dPt>
          <c:dPt>
            <c:idx val="22"/>
            <c:bubble3D val="0"/>
            <c:spPr>
              <a:ln>
                <a:noFill/>
                <a:prstDash val="solid"/>
              </a:ln>
            </c:spPr>
          </c:dPt>
          <c:dPt>
            <c:idx val="23"/>
            <c:bubble3D val="0"/>
            <c:spPr>
              <a:ln>
                <a:noFill/>
                <a:prstDash val="solid"/>
              </a:ln>
            </c:spPr>
          </c:dPt>
          <c:dPt>
            <c:idx val="24"/>
            <c:bubble3D val="0"/>
            <c:spPr>
              <a:ln>
                <a:noFill/>
                <a:prstDash val="solid"/>
              </a:ln>
            </c:spPr>
          </c:dPt>
          <c:dPt>
            <c:idx val="25"/>
            <c:bubble3D val="0"/>
            <c:spPr>
              <a:ln>
                <a:noFill/>
                <a:prstDash val="solid"/>
              </a:ln>
            </c:spPr>
          </c:dPt>
          <c:dPt>
            <c:idx val="26"/>
            <c:bubble3D val="0"/>
            <c:spPr>
              <a:ln>
                <a:noFill/>
                <a:prstDash val="solid"/>
              </a:ln>
            </c:spPr>
          </c:dPt>
          <c:dPt>
            <c:idx val="27"/>
            <c:bubble3D val="0"/>
            <c:spPr>
              <a:ln>
                <a:noFill/>
                <a:prstDash val="solid"/>
              </a:ln>
            </c:spPr>
          </c:dPt>
          <c:dPt>
            <c:idx val="28"/>
            <c:bubble3D val="0"/>
            <c:spPr>
              <a:ln>
                <a:noFill/>
                <a:prstDash val="solid"/>
              </a:ln>
            </c:spPr>
          </c:dPt>
          <c:dPt>
            <c:idx val="29"/>
            <c:bubble3D val="0"/>
            <c:spPr>
              <a:ln>
                <a:noFill/>
                <a:prstDash val="solid"/>
              </a:ln>
            </c:spPr>
          </c:dPt>
          <c:dPt>
            <c:idx val="30"/>
            <c:bubble3D val="0"/>
            <c:spPr>
              <a:ln>
                <a:noFill/>
                <a:prstDash val="solid"/>
              </a:ln>
            </c:spPr>
          </c:dPt>
          <c:dPt>
            <c:idx val="31"/>
            <c:bubble3D val="0"/>
            <c:spPr>
              <a:ln>
                <a:noFill/>
                <a:prstDash val="solid"/>
              </a:ln>
            </c:spPr>
          </c:dPt>
          <c:dLbls>
            <c:delete val="1"/>
          </c:dLbls>
          <c:cat>
            <c:strRef>
              <c:f>'Summary Dashboard OJT'!$A$2:$A$33</c:f>
              <c:strCache>
                <c:ptCount val="32"/>
                <c:pt idx="0">
                  <c:v>HTTP Parser Attack</c:v>
                </c:pt>
                <c:pt idx="1">
                  <c:v>Path Traversal</c:v>
                </c:pt>
                <c:pt idx="2">
                  <c:v>Detection Evasion</c:v>
                </c:pt>
                <c:pt idx="3">
                  <c:v>Injection Attempt</c:v>
                </c:pt>
                <c:pt idx="4">
                  <c:v>Cross Site Scripting (XSS)</c:v>
                </c:pt>
                <c:pt idx="5">
                  <c:v>Server Side Code Injection</c:v>
                </c:pt>
                <c:pt idx="6">
                  <c:v>Other Application Attacks</c:v>
                </c:pt>
                <c:pt idx="7">
                  <c:v>Predictable Resource Location</c:v>
                </c:pt>
                <c:pt idx="8">
                  <c:v>SQL-Injection</c:v>
                </c:pt>
                <c:pt idx="9">
                  <c:v>Information Leakage</c:v>
                </c:pt>
                <c:pt idx="10">
                  <c:v>Remote File Include</c:v>
                </c:pt>
                <c:pt idx="11">
                  <c:v>Abuse of Functionality</c:v>
                </c:pt>
                <c:pt idx="12">
                  <c:v>Command Execution</c:v>
                </c:pt>
                <c:pt idx="13">
                  <c:v>Denial of Service</c:v>
                </c:pt>
                <c:pt idx="14">
                  <c:v>Trojan/Backdoor/Spyware</c:v>
                </c:pt>
                <c:pt idx="15">
                  <c:v>HTTP Response Splitting</c:v>
                </c:pt>
                <c:pt idx="16">
                  <c:v>Authentication/Authorization Attacks</c:v>
                </c:pt>
                <c:pt idx="17">
                  <c:v>Non-browser Client</c:v>
                </c:pt>
                <c:pt idx="18">
                  <c:v>Buffer Overflow</c:v>
                </c:pt>
                <c:pt idx="19">
                  <c:v>Vulnerability Scan</c:v>
                </c:pt>
                <c:pt idx="20">
                  <c:v>Forceful Browsing</c:v>
                </c:pt>
                <c:pt idx="21">
                  <c:v>XPath Injection</c:v>
                </c:pt>
                <c:pt idx="22">
                  <c:v>LDAP Injection</c:v>
                </c:pt>
                <c:pt idx="23">
                  <c:v>Malicious File Upload</c:v>
                </c:pt>
                <c:pt idx="24">
                  <c:v>Session Hijacking</c:v>
                </c:pt>
                <c:pt idx="25">
                  <c:v>Server-Side Request Forgery (SSRF)</c:v>
                </c:pt>
                <c:pt idx="26">
                  <c:v>Parameter Tampering</c:v>
                </c:pt>
                <c:pt idx="27">
                  <c:v>XML Parser Attack</c:v>
                </c:pt>
                <c:pt idx="28">
                  <c:v>Cross-site Request Forgery</c:v>
                </c:pt>
                <c:pt idx="29">
                  <c:v>JSON Parser Attack</c:v>
                </c:pt>
                <c:pt idx="30">
                  <c:v>Other Application Activity</c:v>
                </c:pt>
                <c:pt idx="31">
                  <c:v>HTTP Request Smuggling Attack</c:v>
                </c:pt>
              </c:strCache>
            </c:strRef>
          </c:cat>
          <c:val>
            <c:numRef>
              <c:f>'Summary Dashboard OJT'!$B$2:$B$33</c:f>
              <c:numCache>
                <c:formatCode>General</c:formatCode>
                <c:ptCount val="32"/>
                <c:pt idx="0">
                  <c:v>358562</c:v>
                </c:pt>
                <c:pt idx="1">
                  <c:v>345690</c:v>
                </c:pt>
                <c:pt idx="2">
                  <c:v>340328</c:v>
                </c:pt>
                <c:pt idx="3">
                  <c:v>336685</c:v>
                </c:pt>
                <c:pt idx="4">
                  <c:v>327772</c:v>
                </c:pt>
                <c:pt idx="5">
                  <c:v>322027</c:v>
                </c:pt>
                <c:pt idx="6">
                  <c:v>314995</c:v>
                </c:pt>
                <c:pt idx="7">
                  <c:v>302461</c:v>
                </c:pt>
                <c:pt idx="8">
                  <c:v>299751</c:v>
                </c:pt>
                <c:pt idx="9">
                  <c:v>296904</c:v>
                </c:pt>
                <c:pt idx="10">
                  <c:v>292531</c:v>
                </c:pt>
                <c:pt idx="11">
                  <c:v>288541</c:v>
                </c:pt>
                <c:pt idx="12">
                  <c:v>280485</c:v>
                </c:pt>
                <c:pt idx="13">
                  <c:v>217426</c:v>
                </c:pt>
                <c:pt idx="14">
                  <c:v>206887</c:v>
                </c:pt>
                <c:pt idx="15">
                  <c:v>203128</c:v>
                </c:pt>
                <c:pt idx="16">
                  <c:v>188899</c:v>
                </c:pt>
                <c:pt idx="17">
                  <c:v>184769</c:v>
                </c:pt>
                <c:pt idx="18">
                  <c:v>136171</c:v>
                </c:pt>
                <c:pt idx="19">
                  <c:v>123462</c:v>
                </c:pt>
                <c:pt idx="20">
                  <c:v>123455</c:v>
                </c:pt>
                <c:pt idx="21">
                  <c:v>100459</c:v>
                </c:pt>
                <c:pt idx="22">
                  <c:v>100310</c:v>
                </c:pt>
                <c:pt idx="23">
                  <c:v>78359</c:v>
                </c:pt>
                <c:pt idx="24">
                  <c:v>49025</c:v>
                </c:pt>
                <c:pt idx="25">
                  <c:v>39789</c:v>
                </c:pt>
                <c:pt idx="26">
                  <c:v>29153</c:v>
                </c:pt>
                <c:pt idx="27">
                  <c:v>22584</c:v>
                </c:pt>
                <c:pt idx="28">
                  <c:v>14088</c:v>
                </c:pt>
                <c:pt idx="29">
                  <c:v>11060</c:v>
                </c:pt>
                <c:pt idx="30">
                  <c:v>3166</c:v>
                </c:pt>
                <c:pt idx="31">
                  <c:v>2384</c:v>
                </c:pt>
              </c:numCache>
            </c:numRef>
          </c:val>
        </c:ser>
        <c:dLbls>
          <c:showLegendKey val="0"/>
          <c:showVal val="0"/>
          <c:showCatName val="0"/>
          <c:showSerName val="0"/>
          <c:showPercent val="0"/>
          <c:showBubbleSize val="0"/>
          <c:showLeaderLines val="1"/>
        </c:dLbls>
        <c:firstSliceAng val="0"/>
      </c:pieChart>
    </c:plotArea>
    <c:legend>
      <c:legendPos val="r"/>
      <c:layout>
        <c:manualLayout>
          <c:xMode val="edge"/>
          <c:yMode val="edge"/>
          <c:x val="0.676180522498637"/>
          <c:y val="0.154215173245407"/>
          <c:w val="0.319327675029588"/>
          <c:h val="0.843651353905456"/>
        </c:manualLayout>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1"/>
    <c:extLst>
      <c:ext uri="{0b15fc19-7d7d-44ad-8c2d-2c3a37ce22c3}">
        <chartProps xmlns="https://web.wps.cn/et/2018/main" chartId="{d2c81c97-5e6c-4c9f-9dc6-05581c7c2f88}"/>
      </c:ext>
    </c:extLst>
  </c:chart>
  <c:txPr>
    <a:bodyPr/>
    <a:lstStyle/>
    <a:p>
      <a:pPr>
        <a:defRPr lang="en-GB"/>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lang="en-US"/>
              <a:t>High vs Critical Attack Counts</a:t>
            </a:r>
            <a:endParaRPr lang="en-US"/>
          </a:p>
        </c:rich>
      </c:tx>
      <c:layout/>
      <c:overlay val="0"/>
    </c:title>
    <c:autoTitleDeleted val="0"/>
    <c:plotArea>
      <c:layout/>
      <c:barChart>
        <c:barDir val="col"/>
        <c:grouping val="clustered"/>
        <c:varyColors val="0"/>
        <c:ser>
          <c:idx val="0"/>
          <c:order val="0"/>
          <c:spPr>
            <a:solidFill>
              <a:srgbClr val="C00000"/>
            </a:solidFill>
            <a:ln>
              <a:noFill/>
              <a:prstDash val="solid"/>
            </a:ln>
          </c:spPr>
          <c:invertIfNegative val="0"/>
          <c:dLbls>
            <c:delete val="1"/>
          </c:dLbls>
          <c:cat>
            <c:numRef>
              <c:f>'Summary Dashboard OJT'!#REF!</c:f>
              <c:numCache>
                <c:ptCount val="0"/>
              </c:numCache>
            </c:numRef>
          </c:cat>
          <c:val>
            <c:numRef>
              <c:f>'Summary Dashboard OJT'!#REF!</c:f>
              <c:numCache>
                <c:formatCode>General</c:formatCode>
                <c:ptCount val="1"/>
                <c:pt idx="0">
                  <c:v>1</c:v>
                </c:pt>
              </c:numCache>
            </c:numRef>
          </c:val>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Severity</a:t>
                </a:r>
                <a:endParaRPr lang="en-US"/>
              </a:p>
            </c:rich>
          </c:tx>
          <c:layout/>
          <c:overlay val="0"/>
        </c:title>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00"/>
        <c:crosses val="autoZero"/>
        <c:auto val="0"/>
        <c:lblAlgn val="ctr"/>
        <c:lblOffset val="100"/>
        <c:noMultiLvlLbl val="0"/>
      </c:catAx>
      <c:valAx>
        <c:axId val="100"/>
        <c:scaling>
          <c:orientation val="minMax"/>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Count</a:t>
                </a:r>
                <a:endParaRPr lang="en-US"/>
              </a:p>
            </c:rich>
          </c:tx>
          <c:layout/>
          <c:overlay val="0"/>
        </c:title>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0"/>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1"/>
    <c:extLst>
      <c:ext uri="{0b15fc19-7d7d-44ad-8c2d-2c3a37ce22c3}">
        <chartProps xmlns="https://web.wps.cn/et/2018/main" chartId="{5b12bc89-76d9-4ff6-983a-de867cbc558b}"/>
      </c:ext>
    </c:extLst>
  </c:chart>
  <c:txPr>
    <a:bodyPr/>
    <a:lstStyle/>
    <a:p>
      <a:pPr>
        <a:defRPr lang="en-GB"/>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576145</xdr:colOff>
      <xdr:row>39</xdr:row>
      <xdr:rowOff>46463</xdr:rowOff>
    </xdr:from>
    <xdr:to>
      <xdr:col>4</xdr:col>
      <xdr:colOff>1384608</xdr:colOff>
      <xdr:row>63</xdr:row>
      <xdr:rowOff>9292</xdr:rowOff>
    </xdr:to>
    <xdr:graphicFrame>
      <xdr:nvGraphicFramePr>
        <xdr:cNvPr id="3" name="Chart 3"/>
        <xdr:cNvGraphicFramePr/>
      </xdr:nvGraphicFramePr>
      <xdr:xfrm>
        <a:off x="575945" y="10621010"/>
        <a:ext cx="6942455" cy="438213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5</xdr:col>
      <xdr:colOff>111473</xdr:colOff>
      <xdr:row>38</xdr:row>
      <xdr:rowOff>27878</xdr:rowOff>
    </xdr:from>
    <xdr:ext cx="5594234" cy="4637049"/>
    <xdr:graphicFrame>
      <xdr:nvGraphicFramePr>
        <xdr:cNvPr id="2" name="Chart 1"/>
        <xdr:cNvGraphicFramePr/>
      </xdr:nvGraphicFramePr>
      <xdr:xfrm>
        <a:off x="8086725" y="10417810"/>
        <a:ext cx="5594350" cy="4637405"/>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10</xdr:col>
      <xdr:colOff>19453</xdr:colOff>
      <xdr:row>41</xdr:row>
      <xdr:rowOff>80413</xdr:rowOff>
    </xdr:from>
    <xdr:ext cx="4934333" cy="2644579"/>
    <xdr:graphicFrame>
      <xdr:nvGraphicFramePr>
        <xdr:cNvPr id="4" name="Chart 2"/>
        <xdr:cNvGraphicFramePr/>
      </xdr:nvGraphicFramePr>
      <xdr:xfrm>
        <a:off x="14960600" y="11022965"/>
        <a:ext cx="4934585" cy="2644775"/>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576145</xdr:colOff>
      <xdr:row>37</xdr:row>
      <xdr:rowOff>46463</xdr:rowOff>
    </xdr:from>
    <xdr:to>
      <xdr:col>4</xdr:col>
      <xdr:colOff>1384608</xdr:colOff>
      <xdr:row>61</xdr:row>
      <xdr:rowOff>9292</xdr:rowOff>
    </xdr:to>
    <xdr:graphicFrame>
      <xdr:nvGraphicFramePr>
        <xdr:cNvPr id="3" name="Chart 3"/>
        <xdr:cNvGraphicFramePr/>
      </xdr:nvGraphicFramePr>
      <xdr:xfrm>
        <a:off x="575945" y="10017760"/>
        <a:ext cx="5951855" cy="438213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5</xdr:col>
      <xdr:colOff>111473</xdr:colOff>
      <xdr:row>36</xdr:row>
      <xdr:rowOff>27878</xdr:rowOff>
    </xdr:from>
    <xdr:ext cx="5594234" cy="4637049"/>
    <xdr:graphicFrame>
      <xdr:nvGraphicFramePr>
        <xdr:cNvPr id="2" name="Chart 1"/>
        <xdr:cNvGraphicFramePr/>
      </xdr:nvGraphicFramePr>
      <xdr:xfrm>
        <a:off x="7096125" y="9814560"/>
        <a:ext cx="5594350" cy="4637405"/>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10</xdr:col>
      <xdr:colOff>19453</xdr:colOff>
      <xdr:row>39</xdr:row>
      <xdr:rowOff>80413</xdr:rowOff>
    </xdr:from>
    <xdr:ext cx="4934333" cy="2644579"/>
    <xdr:graphicFrame>
      <xdr:nvGraphicFramePr>
        <xdr:cNvPr id="4" name="Chart 2"/>
        <xdr:cNvGraphicFramePr/>
      </xdr:nvGraphicFramePr>
      <xdr:xfrm>
        <a:off x="13798550" y="10419715"/>
        <a:ext cx="4934585" cy="2644775"/>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470311</xdr:colOff>
      <xdr:row>65</xdr:row>
      <xdr:rowOff>16226</xdr:rowOff>
    </xdr:from>
    <xdr:to>
      <xdr:col>4</xdr:col>
      <xdr:colOff>1278774</xdr:colOff>
      <xdr:row>100</xdr:row>
      <xdr:rowOff>54650</xdr:rowOff>
    </xdr:to>
    <xdr:graphicFrame>
      <xdr:nvGraphicFramePr>
        <xdr:cNvPr id="3" name="Chart 3"/>
        <xdr:cNvGraphicFramePr/>
      </xdr:nvGraphicFramePr>
      <xdr:xfrm>
        <a:off x="469900" y="15403830"/>
        <a:ext cx="6548755" cy="648398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7</xdr:col>
      <xdr:colOff>1275640</xdr:colOff>
      <xdr:row>51</xdr:row>
      <xdr:rowOff>88352</xdr:rowOff>
    </xdr:from>
    <xdr:ext cx="5594234" cy="4637049"/>
    <xdr:graphicFrame>
      <xdr:nvGraphicFramePr>
        <xdr:cNvPr id="2" name="Chart 1"/>
        <xdr:cNvGraphicFramePr/>
      </xdr:nvGraphicFramePr>
      <xdr:xfrm>
        <a:off x="11104880" y="12898120"/>
        <a:ext cx="5594350" cy="463677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12</xdr:col>
      <xdr:colOff>533500</xdr:colOff>
      <xdr:row>40</xdr:row>
      <xdr:rowOff>125770</xdr:rowOff>
    </xdr:from>
    <xdr:ext cx="4934333" cy="2644579"/>
    <xdr:graphicFrame>
      <xdr:nvGraphicFramePr>
        <xdr:cNvPr id="4" name="Chart 2"/>
        <xdr:cNvGraphicFramePr/>
      </xdr:nvGraphicFramePr>
      <xdr:xfrm>
        <a:off x="17608550" y="10909935"/>
        <a:ext cx="4933950" cy="264414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
  <sheetViews>
    <sheetView tabSelected="1" workbookViewId="0">
      <selection activeCell="G12" sqref="G12"/>
    </sheetView>
  </sheetViews>
  <sheetFormatPr defaultColWidth="9" defaultRowHeight="14.5" outlineLevelRow="7"/>
  <cols>
    <col min="1" max="1" width="16" customWidth="1"/>
  </cols>
  <sheetData>
    <row r="1" spans="1:11">
      <c r="A1" s="36" t="s">
        <v>0</v>
      </c>
      <c r="B1" s="37" t="s">
        <v>1</v>
      </c>
      <c r="C1" s="38"/>
      <c r="D1" s="38"/>
      <c r="E1" s="38"/>
      <c r="F1" s="38"/>
      <c r="G1" s="38"/>
      <c r="H1" s="38"/>
      <c r="I1" s="38"/>
      <c r="J1" s="38"/>
      <c r="K1" s="45"/>
    </row>
    <row r="2" spans="1:11">
      <c r="A2" s="39"/>
      <c r="B2" s="37" t="s">
        <v>2</v>
      </c>
      <c r="C2" s="38"/>
      <c r="D2" s="38"/>
      <c r="E2" s="38"/>
      <c r="F2" s="38"/>
      <c r="G2" s="38"/>
      <c r="H2" s="38"/>
      <c r="I2" s="38"/>
      <c r="J2" s="38"/>
      <c r="K2" s="45"/>
    </row>
    <row r="3" spans="1:11">
      <c r="A3" s="40"/>
      <c r="B3" s="37" t="s">
        <v>3</v>
      </c>
      <c r="C3" s="38"/>
      <c r="D3" s="38"/>
      <c r="E3" s="38"/>
      <c r="F3" s="38"/>
      <c r="G3" s="38"/>
      <c r="H3" s="38"/>
      <c r="I3" s="38"/>
      <c r="J3" s="38"/>
      <c r="K3" s="45"/>
    </row>
    <row r="4" spans="1:11">
      <c r="A4" s="41" t="s">
        <v>4</v>
      </c>
      <c r="B4" s="42" t="s">
        <v>5</v>
      </c>
      <c r="C4" s="38"/>
      <c r="D4" s="38"/>
      <c r="E4" s="38"/>
      <c r="F4" s="38"/>
      <c r="G4" s="38"/>
      <c r="H4" s="38"/>
      <c r="I4" s="38"/>
      <c r="J4" s="38"/>
      <c r="K4" s="45"/>
    </row>
    <row r="5" spans="1:11">
      <c r="A5" s="41" t="s">
        <v>6</v>
      </c>
      <c r="B5" s="42" t="s">
        <v>7</v>
      </c>
      <c r="C5" s="38"/>
      <c r="D5" s="38"/>
      <c r="E5" s="38"/>
      <c r="F5" s="38"/>
      <c r="G5" s="38"/>
      <c r="H5" s="38"/>
      <c r="I5" s="38"/>
      <c r="J5" s="38"/>
      <c r="K5" s="45"/>
    </row>
    <row r="6" spans="1:11">
      <c r="A6" s="41" t="s">
        <v>8</v>
      </c>
      <c r="B6" s="42" t="s">
        <v>9</v>
      </c>
      <c r="C6" s="38"/>
      <c r="D6" s="38"/>
      <c r="E6" s="38"/>
      <c r="F6" s="38"/>
      <c r="G6" s="38"/>
      <c r="H6" s="38"/>
      <c r="I6" s="38"/>
      <c r="J6" s="38"/>
      <c r="K6" s="45"/>
    </row>
    <row r="7" spans="1:11">
      <c r="A7" s="41" t="s">
        <v>10</v>
      </c>
      <c r="B7" s="42" t="s">
        <v>11</v>
      </c>
      <c r="C7" s="38"/>
      <c r="D7" s="38"/>
      <c r="E7" s="38"/>
      <c r="F7" s="38"/>
      <c r="G7" s="38"/>
      <c r="H7" s="38"/>
      <c r="I7" s="38"/>
      <c r="J7" s="38"/>
      <c r="K7" s="45"/>
    </row>
    <row r="8" ht="38.4" customHeight="1" spans="1:11">
      <c r="A8" s="43" t="s">
        <v>12</v>
      </c>
      <c r="B8" s="44" t="s">
        <v>13</v>
      </c>
      <c r="C8" s="38"/>
      <c r="D8" s="38"/>
      <c r="E8" s="38"/>
      <c r="F8" s="38"/>
      <c r="G8" s="38"/>
      <c r="H8" s="38"/>
      <c r="I8" s="38"/>
      <c r="J8" s="38"/>
      <c r="K8" s="45"/>
    </row>
  </sheetData>
  <mergeCells count="9">
    <mergeCell ref="B1:K1"/>
    <mergeCell ref="B2:K2"/>
    <mergeCell ref="B3:K3"/>
    <mergeCell ref="B4:K4"/>
    <mergeCell ref="B5:K5"/>
    <mergeCell ref="B6:K6"/>
    <mergeCell ref="B7:K7"/>
    <mergeCell ref="B8:K8"/>
    <mergeCell ref="A1:A3"/>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2"/>
  <sheetViews>
    <sheetView zoomScale="48" zoomScaleNormal="48" topLeftCell="A29" workbookViewId="0">
      <selection activeCell="G33" sqref="G33"/>
    </sheetView>
  </sheetViews>
  <sheetFormatPr defaultColWidth="9" defaultRowHeight="14.5"/>
  <cols>
    <col min="1" max="1" width="9" customWidth="1"/>
    <col min="2" max="2" width="28" style="24" customWidth="1"/>
    <col min="3" max="3" width="40.4545454545455" customWidth="1"/>
    <col min="4" max="4" width="36.8181818181818" customWidth="1"/>
    <col min="5" max="5" width="9" customWidth="1"/>
    <col min="6" max="6" width="47.6363636363636" customWidth="1"/>
    <col min="7" max="7" width="39.6363636363636" style="24" customWidth="1"/>
    <col min="8" max="8" width="17.1818181818182" customWidth="1"/>
    <col min="9" max="9" width="51.8181818181818" customWidth="1"/>
    <col min="10" max="10" width="9" customWidth="1"/>
  </cols>
  <sheetData>
    <row r="1" s="23" customFormat="1" ht="15.5" customHeight="1" spans="1:9">
      <c r="A1" s="25" t="s">
        <v>14</v>
      </c>
      <c r="B1" s="25" t="s">
        <v>15</v>
      </c>
      <c r="C1" s="25" t="s">
        <v>16</v>
      </c>
      <c r="D1" s="25" t="s">
        <v>17</v>
      </c>
      <c r="E1" s="25" t="s">
        <v>18</v>
      </c>
      <c r="F1" s="25" t="s">
        <v>19</v>
      </c>
      <c r="G1" s="25" t="s">
        <v>20</v>
      </c>
      <c r="H1" s="25" t="s">
        <v>21</v>
      </c>
      <c r="I1" s="25" t="s">
        <v>22</v>
      </c>
    </row>
    <row r="2" s="23" customFormat="1" ht="333.5" customHeight="1" spans="1:9">
      <c r="A2" s="26">
        <v>1</v>
      </c>
      <c r="B2" s="27" t="s">
        <v>23</v>
      </c>
      <c r="C2" s="28" t="s">
        <v>24</v>
      </c>
      <c r="D2" s="28" t="s">
        <v>25</v>
      </c>
      <c r="E2" s="29" t="s">
        <v>26</v>
      </c>
      <c r="F2" s="28" t="s">
        <v>27</v>
      </c>
      <c r="G2" s="28" t="s">
        <v>28</v>
      </c>
      <c r="H2" s="30" t="s">
        <v>29</v>
      </c>
      <c r="I2" s="28">
        <v>1248639</v>
      </c>
    </row>
    <row r="3" s="23" customFormat="1" ht="409.5" customHeight="1" spans="1:9">
      <c r="A3" s="26">
        <v>2</v>
      </c>
      <c r="B3" s="27" t="s">
        <v>30</v>
      </c>
      <c r="C3" s="28" t="s">
        <v>31</v>
      </c>
      <c r="D3" s="28" t="s">
        <v>32</v>
      </c>
      <c r="E3" s="29" t="s">
        <v>26</v>
      </c>
      <c r="F3" s="28" t="s">
        <v>33</v>
      </c>
      <c r="G3" s="28" t="s">
        <v>34</v>
      </c>
      <c r="H3" s="30" t="s">
        <v>29</v>
      </c>
      <c r="I3" s="28">
        <v>1162685</v>
      </c>
    </row>
    <row r="4" s="23" customFormat="1" ht="232" customHeight="1" spans="1:9">
      <c r="A4" s="26">
        <v>3</v>
      </c>
      <c r="B4" s="27" t="s">
        <v>35</v>
      </c>
      <c r="C4" s="28" t="s">
        <v>36</v>
      </c>
      <c r="D4" s="28" t="s">
        <v>37</v>
      </c>
      <c r="E4" s="29" t="s">
        <v>26</v>
      </c>
      <c r="F4" s="28" t="s">
        <v>38</v>
      </c>
      <c r="G4" s="28" t="s">
        <v>39</v>
      </c>
      <c r="H4" s="30" t="s">
        <v>29</v>
      </c>
      <c r="I4" s="28">
        <v>1140325</v>
      </c>
    </row>
    <row r="5" ht="333.5" customHeight="1" spans="1:17">
      <c r="A5" s="31">
        <v>4</v>
      </c>
      <c r="B5" s="27" t="s">
        <v>40</v>
      </c>
      <c r="C5" s="28" t="s">
        <v>41</v>
      </c>
      <c r="D5" s="28" t="s">
        <v>42</v>
      </c>
      <c r="E5" s="29" t="s">
        <v>26</v>
      </c>
      <c r="F5" s="28" t="s">
        <v>43</v>
      </c>
      <c r="G5" s="28" t="s">
        <v>44</v>
      </c>
      <c r="H5" s="30" t="s">
        <v>29</v>
      </c>
      <c r="I5" s="28">
        <v>1120404</v>
      </c>
      <c r="J5" s="32"/>
      <c r="K5" s="32"/>
      <c r="L5" s="32"/>
      <c r="M5" s="32"/>
      <c r="N5" s="32"/>
      <c r="O5" s="32"/>
      <c r="P5" s="32"/>
      <c r="Q5" s="32"/>
    </row>
    <row r="6" ht="275.5" customHeight="1" spans="1:17">
      <c r="A6" s="32">
        <v>5</v>
      </c>
      <c r="B6" s="27" t="s">
        <v>45</v>
      </c>
      <c r="C6" s="28" t="s">
        <v>41</v>
      </c>
      <c r="D6" s="28" t="s">
        <v>42</v>
      </c>
      <c r="E6" s="29" t="s">
        <v>26</v>
      </c>
      <c r="F6" s="28" t="s">
        <v>43</v>
      </c>
      <c r="G6" s="28" t="s">
        <v>46</v>
      </c>
      <c r="H6" s="30" t="s">
        <v>29</v>
      </c>
      <c r="I6" s="28">
        <v>686795</v>
      </c>
      <c r="J6" s="32"/>
      <c r="K6" s="32"/>
      <c r="L6" s="32"/>
      <c r="M6" s="32"/>
      <c r="N6" s="32"/>
      <c r="O6" s="32"/>
      <c r="P6" s="32"/>
      <c r="Q6" s="32"/>
    </row>
    <row r="7" ht="409.5" customHeight="1" spans="1:9">
      <c r="A7" s="33">
        <v>6</v>
      </c>
      <c r="B7" s="27" t="s">
        <v>47</v>
      </c>
      <c r="C7" s="28" t="s">
        <v>41</v>
      </c>
      <c r="D7" s="28" t="s">
        <v>42</v>
      </c>
      <c r="E7" s="29" t="s">
        <v>26</v>
      </c>
      <c r="F7" s="28" t="s">
        <v>48</v>
      </c>
      <c r="G7" s="28" t="s">
        <v>49</v>
      </c>
      <c r="H7" s="30" t="s">
        <v>29</v>
      </c>
      <c r="I7" s="28">
        <v>669731</v>
      </c>
    </row>
    <row r="8" ht="159.5" customHeight="1" spans="1:9">
      <c r="A8" s="33">
        <v>7</v>
      </c>
      <c r="B8" s="27" t="s">
        <v>50</v>
      </c>
      <c r="C8" s="28" t="s">
        <v>51</v>
      </c>
      <c r="D8" s="28" t="s">
        <v>52</v>
      </c>
      <c r="E8" s="29" t="s">
        <v>26</v>
      </c>
      <c r="F8" s="28" t="s">
        <v>53</v>
      </c>
      <c r="G8" s="28" t="s">
        <v>54</v>
      </c>
      <c r="H8" s="30" t="s">
        <v>29</v>
      </c>
      <c r="I8" s="28">
        <v>652910</v>
      </c>
    </row>
    <row r="9" ht="232" customHeight="1" spans="1:10">
      <c r="A9" s="33">
        <v>8</v>
      </c>
      <c r="B9" s="27" t="s">
        <v>55</v>
      </c>
      <c r="C9" s="28" t="s">
        <v>51</v>
      </c>
      <c r="D9" s="28" t="s">
        <v>52</v>
      </c>
      <c r="E9" s="29" t="s">
        <v>26</v>
      </c>
      <c r="F9" s="28" t="s">
        <v>53</v>
      </c>
      <c r="G9" s="28" t="s">
        <v>56</v>
      </c>
      <c r="H9" s="30" t="s">
        <v>29</v>
      </c>
      <c r="I9" s="28">
        <v>651316</v>
      </c>
      <c r="J9" s="35" t="s">
        <v>57</v>
      </c>
    </row>
    <row r="10" ht="304.5" customHeight="1" spans="1:9">
      <c r="A10" s="33">
        <v>9</v>
      </c>
      <c r="B10" s="27" t="s">
        <v>58</v>
      </c>
      <c r="C10" s="28" t="s">
        <v>59</v>
      </c>
      <c r="D10" s="28" t="s">
        <v>60</v>
      </c>
      <c r="E10" s="29" t="s">
        <v>26</v>
      </c>
      <c r="F10" s="28" t="s">
        <v>61</v>
      </c>
      <c r="G10" s="28" t="s">
        <v>62</v>
      </c>
      <c r="H10" s="30" t="s">
        <v>29</v>
      </c>
      <c r="I10" s="28">
        <v>629230</v>
      </c>
    </row>
    <row r="11" ht="261" customHeight="1" spans="1:9">
      <c r="A11" s="33">
        <v>10</v>
      </c>
      <c r="B11" s="27" t="s">
        <v>63</v>
      </c>
      <c r="C11" s="28" t="s">
        <v>64</v>
      </c>
      <c r="D11" s="28" t="s">
        <v>65</v>
      </c>
      <c r="E11" s="29" t="s">
        <v>26</v>
      </c>
      <c r="F11" s="28" t="s">
        <v>66</v>
      </c>
      <c r="G11" s="28" t="s">
        <v>67</v>
      </c>
      <c r="H11" s="30" t="s">
        <v>29</v>
      </c>
      <c r="I11" s="28">
        <v>598360</v>
      </c>
    </row>
    <row r="12" ht="246.5" customHeight="1" spans="1:9">
      <c r="A12" s="33">
        <v>11</v>
      </c>
      <c r="B12" s="27" t="s">
        <v>68</v>
      </c>
      <c r="C12" s="28" t="s">
        <v>69</v>
      </c>
      <c r="D12" s="28" t="s">
        <v>70</v>
      </c>
      <c r="E12" s="29" t="s">
        <v>26</v>
      </c>
      <c r="F12" s="28" t="s">
        <v>71</v>
      </c>
      <c r="G12" s="28" t="s">
        <v>72</v>
      </c>
      <c r="H12" s="30" t="s">
        <v>29</v>
      </c>
      <c r="I12" s="28">
        <v>591797</v>
      </c>
    </row>
    <row r="13" ht="290" customHeight="1" spans="1:9">
      <c r="A13" s="33">
        <v>12</v>
      </c>
      <c r="B13" s="27" t="s">
        <v>73</v>
      </c>
      <c r="C13" s="28" t="s">
        <v>41</v>
      </c>
      <c r="D13" s="28" t="s">
        <v>42</v>
      </c>
      <c r="E13" s="29" t="s">
        <v>26</v>
      </c>
      <c r="F13" s="28" t="s">
        <v>74</v>
      </c>
      <c r="G13" s="28" t="s">
        <v>75</v>
      </c>
      <c r="H13" s="30" t="s">
        <v>29</v>
      </c>
      <c r="I13" s="28">
        <v>590340</v>
      </c>
    </row>
    <row r="14" ht="232" customHeight="1" spans="1:9">
      <c r="A14" s="33">
        <v>13</v>
      </c>
      <c r="B14" s="27" t="s">
        <v>76</v>
      </c>
      <c r="C14" s="28" t="s">
        <v>77</v>
      </c>
      <c r="D14" s="28" t="s">
        <v>78</v>
      </c>
      <c r="E14" s="29" t="s">
        <v>26</v>
      </c>
      <c r="F14" s="28" t="s">
        <v>79</v>
      </c>
      <c r="G14" s="28" t="s">
        <v>80</v>
      </c>
      <c r="H14" s="30" t="s">
        <v>29</v>
      </c>
      <c r="I14" s="28">
        <v>579680</v>
      </c>
    </row>
    <row r="15" ht="159.5" customHeight="1" spans="1:9">
      <c r="A15" s="33">
        <v>14</v>
      </c>
      <c r="B15" s="27" t="s">
        <v>81</v>
      </c>
      <c r="C15" s="28" t="s">
        <v>51</v>
      </c>
      <c r="D15" s="28" t="s">
        <v>82</v>
      </c>
      <c r="E15" s="29" t="s">
        <v>26</v>
      </c>
      <c r="F15" s="28" t="s">
        <v>83</v>
      </c>
      <c r="G15" s="28" t="s">
        <v>84</v>
      </c>
      <c r="H15" s="30" t="s">
        <v>29</v>
      </c>
      <c r="I15" s="28">
        <v>565799</v>
      </c>
    </row>
    <row r="16" ht="290" customHeight="1" spans="1:9">
      <c r="A16" s="34">
        <v>15</v>
      </c>
      <c r="B16" s="27" t="s">
        <v>85</v>
      </c>
      <c r="C16" s="28" t="s">
        <v>86</v>
      </c>
      <c r="D16" s="28" t="s">
        <v>87</v>
      </c>
      <c r="E16" s="29" t="s">
        <v>26</v>
      </c>
      <c r="F16" s="28" t="s">
        <v>88</v>
      </c>
      <c r="G16" s="28" t="s">
        <v>89</v>
      </c>
      <c r="H16" s="30" t="s">
        <v>29</v>
      </c>
      <c r="I16" s="28">
        <v>471591</v>
      </c>
    </row>
    <row r="17" ht="145" customHeight="1" spans="1:9">
      <c r="A17" s="34">
        <v>16</v>
      </c>
      <c r="B17" s="27" t="s">
        <v>90</v>
      </c>
      <c r="C17" s="28" t="s">
        <v>91</v>
      </c>
      <c r="D17" s="28" t="s">
        <v>92</v>
      </c>
      <c r="E17" s="29" t="s">
        <v>26</v>
      </c>
      <c r="F17" s="28" t="s">
        <v>93</v>
      </c>
      <c r="G17" s="28" t="s">
        <v>94</v>
      </c>
      <c r="H17" s="30" t="s">
        <v>29</v>
      </c>
      <c r="I17" s="28">
        <v>441006</v>
      </c>
    </row>
    <row r="18" ht="159.5" customHeight="1" spans="1:9">
      <c r="A18" s="34">
        <v>17</v>
      </c>
      <c r="B18" s="27" t="s">
        <v>95</v>
      </c>
      <c r="C18" s="28" t="s">
        <v>96</v>
      </c>
      <c r="D18" s="28" t="s">
        <v>97</v>
      </c>
      <c r="E18" s="29" t="s">
        <v>26</v>
      </c>
      <c r="F18" s="28" t="s">
        <v>98</v>
      </c>
      <c r="G18" s="28" t="s">
        <v>99</v>
      </c>
      <c r="H18" s="30" t="s">
        <v>29</v>
      </c>
      <c r="I18" s="28">
        <v>441001</v>
      </c>
    </row>
    <row r="19" ht="145" customHeight="1" spans="1:9">
      <c r="A19" s="34">
        <v>18</v>
      </c>
      <c r="B19" s="27" t="s">
        <v>100</v>
      </c>
      <c r="C19" s="28" t="s">
        <v>101</v>
      </c>
      <c r="D19" s="28" t="s">
        <v>102</v>
      </c>
      <c r="E19" s="29" t="s">
        <v>26</v>
      </c>
      <c r="F19" s="28" t="s">
        <v>103</v>
      </c>
      <c r="G19" s="28" t="s">
        <v>104</v>
      </c>
      <c r="H19" s="30" t="s">
        <v>29</v>
      </c>
      <c r="I19" s="28">
        <v>410732</v>
      </c>
    </row>
    <row r="20" ht="145" customHeight="1" spans="1:9">
      <c r="A20" s="34">
        <v>19</v>
      </c>
      <c r="B20" s="27" t="s">
        <v>105</v>
      </c>
      <c r="C20" s="28" t="s">
        <v>106</v>
      </c>
      <c r="D20" s="28" t="s">
        <v>107</v>
      </c>
      <c r="E20" s="29" t="s">
        <v>26</v>
      </c>
      <c r="F20" s="28" t="s">
        <v>108</v>
      </c>
      <c r="G20" s="28" t="s">
        <v>109</v>
      </c>
      <c r="H20" s="30" t="s">
        <v>29</v>
      </c>
      <c r="I20" s="28">
        <v>401419</v>
      </c>
    </row>
    <row r="21" ht="116" customHeight="1" spans="1:9">
      <c r="A21" s="34">
        <v>20</v>
      </c>
      <c r="B21" s="27" t="s">
        <v>110</v>
      </c>
      <c r="C21" s="28" t="s">
        <v>111</v>
      </c>
      <c r="D21" s="28" t="s">
        <v>112</v>
      </c>
      <c r="E21" s="29" t="s">
        <v>26</v>
      </c>
      <c r="F21" s="28" t="s">
        <v>113</v>
      </c>
      <c r="G21" s="28" t="s">
        <v>114</v>
      </c>
      <c r="H21" s="30" t="s">
        <v>29</v>
      </c>
      <c r="I21" s="28">
        <v>395683</v>
      </c>
    </row>
    <row r="22" ht="101.5" customHeight="1" spans="1:9">
      <c r="A22" s="34">
        <v>21</v>
      </c>
      <c r="B22" s="27" t="s">
        <v>115</v>
      </c>
      <c r="C22" s="28" t="s">
        <v>36</v>
      </c>
      <c r="D22" s="28" t="s">
        <v>37</v>
      </c>
      <c r="E22" s="29" t="s">
        <v>26</v>
      </c>
      <c r="F22" s="28" t="s">
        <v>38</v>
      </c>
      <c r="G22" s="28" t="s">
        <v>116</v>
      </c>
      <c r="H22" s="30" t="s">
        <v>29</v>
      </c>
      <c r="I22" s="28">
        <v>313918</v>
      </c>
    </row>
    <row r="23" ht="188.5" customHeight="1" spans="1:9">
      <c r="A23" s="34">
        <v>22</v>
      </c>
      <c r="B23" s="27" t="s">
        <v>117</v>
      </c>
      <c r="C23" s="28" t="s">
        <v>41</v>
      </c>
      <c r="D23" s="28" t="s">
        <v>42</v>
      </c>
      <c r="E23" s="29" t="s">
        <v>26</v>
      </c>
      <c r="F23" s="28" t="s">
        <v>118</v>
      </c>
      <c r="G23" s="28" t="s">
        <v>119</v>
      </c>
      <c r="H23" s="30" t="s">
        <v>29</v>
      </c>
      <c r="I23" s="28">
        <v>296345</v>
      </c>
    </row>
    <row r="24" ht="43.5" customHeight="1" spans="1:9">
      <c r="A24" s="34">
        <v>23</v>
      </c>
      <c r="B24" s="27" t="s">
        <v>120</v>
      </c>
      <c r="C24" s="28" t="s">
        <v>121</v>
      </c>
      <c r="D24" s="28" t="s">
        <v>82</v>
      </c>
      <c r="E24" s="29" t="s">
        <v>26</v>
      </c>
      <c r="F24" s="28" t="s">
        <v>122</v>
      </c>
      <c r="G24" s="28" t="s">
        <v>123</v>
      </c>
      <c r="H24" s="30" t="s">
        <v>29</v>
      </c>
      <c r="I24" s="28">
        <v>277022</v>
      </c>
    </row>
    <row r="25" ht="58" customHeight="1" spans="1:9">
      <c r="A25" s="34">
        <v>24</v>
      </c>
      <c r="B25" s="27" t="s">
        <v>124</v>
      </c>
      <c r="C25" s="28" t="s">
        <v>125</v>
      </c>
      <c r="D25" s="28" t="s">
        <v>126</v>
      </c>
      <c r="E25" s="29" t="s">
        <v>26</v>
      </c>
      <c r="F25" s="28" t="s">
        <v>127</v>
      </c>
      <c r="G25" s="28" t="s">
        <v>128</v>
      </c>
      <c r="H25" s="30" t="s">
        <v>29</v>
      </c>
      <c r="I25" s="28">
        <v>250251</v>
      </c>
    </row>
    <row r="26" ht="116" customHeight="1" spans="1:9">
      <c r="A26" s="34">
        <v>25</v>
      </c>
      <c r="B26" s="27" t="s">
        <v>129</v>
      </c>
      <c r="C26" s="28" t="s">
        <v>130</v>
      </c>
      <c r="D26" s="28" t="s">
        <v>131</v>
      </c>
      <c r="E26" s="29" t="s">
        <v>26</v>
      </c>
      <c r="F26" s="28" t="s">
        <v>132</v>
      </c>
      <c r="G26" s="28" t="s">
        <v>133</v>
      </c>
      <c r="H26" s="30" t="s">
        <v>29</v>
      </c>
      <c r="I26" s="28">
        <v>169468</v>
      </c>
    </row>
    <row r="27" ht="101.5" customHeight="1" spans="1:9">
      <c r="A27" s="34">
        <v>26</v>
      </c>
      <c r="B27" s="27" t="s">
        <v>134</v>
      </c>
      <c r="C27" s="28" t="s">
        <v>135</v>
      </c>
      <c r="D27" s="28" t="s">
        <v>136</v>
      </c>
      <c r="E27" s="29" t="s">
        <v>26</v>
      </c>
      <c r="F27" s="28" t="s">
        <v>137</v>
      </c>
      <c r="G27" s="28" t="s">
        <v>138</v>
      </c>
      <c r="H27" s="30" t="s">
        <v>29</v>
      </c>
      <c r="I27" s="28">
        <v>148760</v>
      </c>
    </row>
    <row r="28" ht="101.5" customHeight="1" spans="1:9">
      <c r="A28" s="34">
        <v>27</v>
      </c>
      <c r="B28" s="27" t="s">
        <v>139</v>
      </c>
      <c r="C28" s="28" t="s">
        <v>140</v>
      </c>
      <c r="D28" s="28" t="s">
        <v>141</v>
      </c>
      <c r="E28" s="29" t="s">
        <v>26</v>
      </c>
      <c r="F28" s="28" t="s">
        <v>142</v>
      </c>
      <c r="G28" s="28" t="s">
        <v>143</v>
      </c>
      <c r="H28" s="30" t="s">
        <v>29</v>
      </c>
      <c r="I28" s="28">
        <v>139152</v>
      </c>
    </row>
    <row r="29" ht="174" customHeight="1" spans="1:9">
      <c r="A29" s="34">
        <v>28</v>
      </c>
      <c r="B29" s="27" t="s">
        <v>144</v>
      </c>
      <c r="C29" s="28" t="s">
        <v>145</v>
      </c>
      <c r="D29" s="28" t="s">
        <v>146</v>
      </c>
      <c r="E29" s="29" t="s">
        <v>26</v>
      </c>
      <c r="F29" s="28" t="s">
        <v>147</v>
      </c>
      <c r="G29" s="28" t="s">
        <v>148</v>
      </c>
      <c r="H29" s="30" t="s">
        <v>29</v>
      </c>
      <c r="I29" s="28">
        <v>128061</v>
      </c>
    </row>
    <row r="30" ht="116" customHeight="1" spans="1:9">
      <c r="A30" s="34">
        <v>29</v>
      </c>
      <c r="B30" s="27" t="s">
        <v>149</v>
      </c>
      <c r="C30" s="28" t="s">
        <v>150</v>
      </c>
      <c r="D30" s="28" t="s">
        <v>151</v>
      </c>
      <c r="E30" s="29" t="s">
        <v>26</v>
      </c>
      <c r="F30" s="28" t="s">
        <v>152</v>
      </c>
      <c r="G30" s="28" t="s">
        <v>153</v>
      </c>
      <c r="H30" s="30" t="s">
        <v>29</v>
      </c>
      <c r="I30" s="28">
        <v>105323</v>
      </c>
    </row>
    <row r="31" ht="72.5" spans="1:9">
      <c r="A31" s="34">
        <v>30</v>
      </c>
      <c r="B31" s="27" t="s">
        <v>154</v>
      </c>
      <c r="C31" s="28" t="s">
        <v>155</v>
      </c>
      <c r="D31" s="28" t="s">
        <v>156</v>
      </c>
      <c r="E31" s="29" t="s">
        <v>26</v>
      </c>
      <c r="F31" s="28" t="s">
        <v>157</v>
      </c>
      <c r="G31" s="28" t="s">
        <v>158</v>
      </c>
      <c r="H31" s="30" t="s">
        <v>29</v>
      </c>
      <c r="I31" s="28">
        <v>37257</v>
      </c>
    </row>
    <row r="32" spans="7:9">
      <c r="G32" s="28" t="s">
        <v>159</v>
      </c>
      <c r="H32" s="28"/>
      <c r="I32" s="28">
        <f>SUM(I2:I31)</f>
        <v>15315000</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8"/>
  <sheetViews>
    <sheetView zoomScale="48" zoomScaleNormal="48" topLeftCell="C23" workbookViewId="0">
      <selection activeCell="G28" sqref="G28:I28"/>
    </sheetView>
  </sheetViews>
  <sheetFormatPr defaultColWidth="9" defaultRowHeight="14.5"/>
  <cols>
    <col min="2" max="2" width="28" style="24" customWidth="1"/>
    <col min="3" max="3" width="40.4545454545455" customWidth="1"/>
    <col min="4" max="4" width="36.8181818181818" customWidth="1"/>
    <col min="6" max="6" width="50.4545454545455" customWidth="1"/>
    <col min="7" max="7" width="144.818181818182" style="24" customWidth="1"/>
    <col min="8" max="9" width="17.1818181818182" customWidth="1"/>
  </cols>
  <sheetData>
    <row r="1" s="23" customFormat="1" ht="15.5" customHeight="1" spans="1:9">
      <c r="A1" s="25" t="s">
        <v>14</v>
      </c>
      <c r="B1" s="25" t="s">
        <v>15</v>
      </c>
      <c r="C1" s="25" t="s">
        <v>16</v>
      </c>
      <c r="D1" s="25" t="s">
        <v>17</v>
      </c>
      <c r="E1" s="25" t="s">
        <v>18</v>
      </c>
      <c r="F1" s="25" t="s">
        <v>19</v>
      </c>
      <c r="G1" s="25" t="s">
        <v>20</v>
      </c>
      <c r="H1" s="25" t="s">
        <v>21</v>
      </c>
      <c r="I1" s="25" t="s">
        <v>22</v>
      </c>
    </row>
    <row r="2" s="23" customFormat="1" ht="319" customHeight="1" spans="1:9">
      <c r="A2" s="26">
        <v>1</v>
      </c>
      <c r="B2" s="27" t="s">
        <v>23</v>
      </c>
      <c r="C2" s="28" t="s">
        <v>24</v>
      </c>
      <c r="D2" s="28" t="s">
        <v>25</v>
      </c>
      <c r="E2" s="29" t="s">
        <v>26</v>
      </c>
      <c r="F2" s="28" t="s">
        <v>27</v>
      </c>
      <c r="G2" s="28" t="s">
        <v>160</v>
      </c>
      <c r="H2" s="30" t="s">
        <v>29</v>
      </c>
      <c r="I2" s="28">
        <v>14378</v>
      </c>
    </row>
    <row r="3" s="23" customFormat="1" ht="83" customHeight="1" spans="1:9">
      <c r="A3" s="26">
        <v>2</v>
      </c>
      <c r="B3" s="27" t="s">
        <v>50</v>
      </c>
      <c r="C3" s="28" t="s">
        <v>51</v>
      </c>
      <c r="D3" s="28" t="s">
        <v>52</v>
      </c>
      <c r="E3" s="29" t="s">
        <v>26</v>
      </c>
      <c r="F3" s="28" t="s">
        <v>53</v>
      </c>
      <c r="G3" s="28" t="s">
        <v>161</v>
      </c>
      <c r="H3" s="30" t="s">
        <v>29</v>
      </c>
      <c r="I3" s="28">
        <v>9043</v>
      </c>
    </row>
    <row r="4" s="23" customFormat="1" ht="223.5" customHeight="1" spans="1:9">
      <c r="A4" s="26">
        <v>3</v>
      </c>
      <c r="B4" s="27" t="s">
        <v>40</v>
      </c>
      <c r="C4" s="28" t="s">
        <v>41</v>
      </c>
      <c r="D4" s="28" t="s">
        <v>42</v>
      </c>
      <c r="E4" s="29" t="s">
        <v>26</v>
      </c>
      <c r="F4" s="28" t="s">
        <v>43</v>
      </c>
      <c r="G4" s="28" t="s">
        <v>162</v>
      </c>
      <c r="H4" s="30" t="s">
        <v>29</v>
      </c>
      <c r="I4" s="28">
        <v>8863</v>
      </c>
    </row>
    <row r="5" ht="43.5" customHeight="1" spans="1:17">
      <c r="A5" s="31">
        <v>4</v>
      </c>
      <c r="B5" s="27" t="s">
        <v>45</v>
      </c>
      <c r="C5" s="28" t="s">
        <v>41</v>
      </c>
      <c r="D5" s="28" t="s">
        <v>42</v>
      </c>
      <c r="E5" s="29" t="s">
        <v>26</v>
      </c>
      <c r="F5" s="28" t="s">
        <v>43</v>
      </c>
      <c r="G5" s="28" t="s">
        <v>162</v>
      </c>
      <c r="H5" s="30" t="s">
        <v>29</v>
      </c>
      <c r="I5" s="28">
        <v>8515</v>
      </c>
      <c r="J5" s="32"/>
      <c r="K5" s="32"/>
      <c r="L5" s="32"/>
      <c r="M5" s="32"/>
      <c r="N5" s="32"/>
      <c r="O5" s="32"/>
      <c r="P5" s="32"/>
      <c r="Q5" s="32"/>
    </row>
    <row r="6" ht="58" customHeight="1" spans="1:17">
      <c r="A6" s="32">
        <v>5</v>
      </c>
      <c r="B6" s="27" t="s">
        <v>30</v>
      </c>
      <c r="C6" s="28" t="s">
        <v>31</v>
      </c>
      <c r="D6" s="28" t="s">
        <v>32</v>
      </c>
      <c r="E6" s="29" t="s">
        <v>26</v>
      </c>
      <c r="F6" s="28" t="s">
        <v>33</v>
      </c>
      <c r="G6" s="28" t="s">
        <v>163</v>
      </c>
      <c r="H6" s="30" t="s">
        <v>29</v>
      </c>
      <c r="I6" s="28">
        <v>8486</v>
      </c>
      <c r="J6" s="32"/>
      <c r="K6" s="32"/>
      <c r="L6" s="32"/>
      <c r="M6" s="32"/>
      <c r="N6" s="32"/>
      <c r="O6" s="32"/>
      <c r="P6" s="32"/>
      <c r="Q6" s="32"/>
    </row>
    <row r="7" ht="87" customHeight="1" spans="1:9">
      <c r="A7" s="33">
        <v>6</v>
      </c>
      <c r="B7" s="27" t="s">
        <v>63</v>
      </c>
      <c r="C7" s="28" t="s">
        <v>64</v>
      </c>
      <c r="D7" s="28" t="s">
        <v>65</v>
      </c>
      <c r="E7" s="29" t="s">
        <v>26</v>
      </c>
      <c r="F7" s="28" t="s">
        <v>66</v>
      </c>
      <c r="G7" s="28" t="s">
        <v>164</v>
      </c>
      <c r="H7" s="30" t="s">
        <v>29</v>
      </c>
      <c r="I7" s="28">
        <v>8459</v>
      </c>
    </row>
    <row r="8" ht="87" customHeight="1" spans="1:9">
      <c r="A8" s="33">
        <v>7</v>
      </c>
      <c r="B8" s="27" t="s">
        <v>47</v>
      </c>
      <c r="C8" s="28" t="s">
        <v>41</v>
      </c>
      <c r="D8" s="28" t="s">
        <v>42</v>
      </c>
      <c r="E8" s="29" t="s">
        <v>26</v>
      </c>
      <c r="F8" s="28" t="s">
        <v>48</v>
      </c>
      <c r="G8" s="28" t="s">
        <v>165</v>
      </c>
      <c r="H8" s="30" t="s">
        <v>29</v>
      </c>
      <c r="I8" s="28">
        <v>8322</v>
      </c>
    </row>
    <row r="9" ht="43.5" customHeight="1" spans="1:9">
      <c r="A9" s="33">
        <v>8</v>
      </c>
      <c r="B9" s="27" t="s">
        <v>55</v>
      </c>
      <c r="C9" s="28" t="s">
        <v>51</v>
      </c>
      <c r="D9" s="28" t="s">
        <v>52</v>
      </c>
      <c r="E9" s="29" t="s">
        <v>26</v>
      </c>
      <c r="F9" s="28" t="s">
        <v>53</v>
      </c>
      <c r="G9" s="28" t="s">
        <v>166</v>
      </c>
      <c r="H9" s="30" t="s">
        <v>29</v>
      </c>
      <c r="I9" s="28">
        <v>6904</v>
      </c>
    </row>
    <row r="10" ht="87" customHeight="1" spans="1:9">
      <c r="A10" s="33">
        <v>9</v>
      </c>
      <c r="B10" s="27" t="s">
        <v>35</v>
      </c>
      <c r="C10" s="28" t="s">
        <v>36</v>
      </c>
      <c r="D10" s="28" t="s">
        <v>37</v>
      </c>
      <c r="E10" s="29" t="s">
        <v>26</v>
      </c>
      <c r="F10" s="28" t="s">
        <v>38</v>
      </c>
      <c r="G10" s="28" t="s">
        <v>167</v>
      </c>
      <c r="H10" s="30" t="s">
        <v>29</v>
      </c>
      <c r="I10" s="28">
        <v>6802</v>
      </c>
    </row>
    <row r="11" ht="58" customHeight="1" spans="1:9">
      <c r="A11" s="33">
        <v>10</v>
      </c>
      <c r="B11" s="27" t="s">
        <v>76</v>
      </c>
      <c r="C11" s="28" t="s">
        <v>77</v>
      </c>
      <c r="D11" s="28" t="s">
        <v>78</v>
      </c>
      <c r="E11" s="29" t="s">
        <v>26</v>
      </c>
      <c r="F11" s="28" t="s">
        <v>79</v>
      </c>
      <c r="G11" s="28" t="s">
        <v>168</v>
      </c>
      <c r="H11" s="30" t="s">
        <v>29</v>
      </c>
      <c r="I11" s="28">
        <v>6204</v>
      </c>
    </row>
    <row r="12" ht="43.5" customHeight="1" spans="1:9">
      <c r="A12" s="33">
        <v>11</v>
      </c>
      <c r="B12" s="27" t="s">
        <v>81</v>
      </c>
      <c r="C12" s="28" t="s">
        <v>51</v>
      </c>
      <c r="D12" s="28" t="s">
        <v>82</v>
      </c>
      <c r="E12" s="29" t="s">
        <v>26</v>
      </c>
      <c r="F12" s="28" t="s">
        <v>83</v>
      </c>
      <c r="G12" s="28" t="s">
        <v>166</v>
      </c>
      <c r="H12" s="30" t="s">
        <v>29</v>
      </c>
      <c r="I12" s="28">
        <v>6102</v>
      </c>
    </row>
    <row r="13" ht="43.5" customHeight="1" spans="1:9">
      <c r="A13" s="33">
        <v>12</v>
      </c>
      <c r="B13" s="27" t="s">
        <v>95</v>
      </c>
      <c r="C13" s="28" t="s">
        <v>96</v>
      </c>
      <c r="D13" s="28" t="s">
        <v>97</v>
      </c>
      <c r="E13" s="29" t="s">
        <v>26</v>
      </c>
      <c r="F13" s="28" t="s">
        <v>98</v>
      </c>
      <c r="G13" s="28" t="s">
        <v>165</v>
      </c>
      <c r="H13" s="30" t="s">
        <v>29</v>
      </c>
      <c r="I13" s="28">
        <v>5362</v>
      </c>
    </row>
    <row r="14" ht="43.5" customHeight="1" spans="1:9">
      <c r="A14" s="33">
        <v>13</v>
      </c>
      <c r="B14" s="27" t="s">
        <v>73</v>
      </c>
      <c r="C14" s="28" t="s">
        <v>41</v>
      </c>
      <c r="D14" s="28" t="s">
        <v>42</v>
      </c>
      <c r="E14" s="29" t="s">
        <v>26</v>
      </c>
      <c r="F14" s="28" t="s">
        <v>74</v>
      </c>
      <c r="G14" s="28" t="s">
        <v>169</v>
      </c>
      <c r="H14" s="30" t="s">
        <v>29</v>
      </c>
      <c r="I14" s="28">
        <v>5251</v>
      </c>
    </row>
    <row r="15" ht="43.5" customHeight="1" spans="1:9">
      <c r="A15" s="33">
        <v>14</v>
      </c>
      <c r="B15" s="27" t="s">
        <v>134</v>
      </c>
      <c r="C15" s="28" t="s">
        <v>135</v>
      </c>
      <c r="D15" s="28" t="s">
        <v>136</v>
      </c>
      <c r="E15" s="29" t="s">
        <v>26</v>
      </c>
      <c r="F15" s="28" t="s">
        <v>137</v>
      </c>
      <c r="G15" s="28" t="s">
        <v>165</v>
      </c>
      <c r="H15" s="30" t="s">
        <v>29</v>
      </c>
      <c r="I15" s="28">
        <v>4242</v>
      </c>
    </row>
    <row r="16" ht="43.5" customHeight="1" spans="1:9">
      <c r="A16" s="33">
        <v>15</v>
      </c>
      <c r="B16" s="27" t="s">
        <v>117</v>
      </c>
      <c r="C16" s="28" t="s">
        <v>41</v>
      </c>
      <c r="D16" s="28" t="s">
        <v>42</v>
      </c>
      <c r="E16" s="29" t="s">
        <v>26</v>
      </c>
      <c r="F16" s="28" t="s">
        <v>118</v>
      </c>
      <c r="G16" s="28" t="s">
        <v>170</v>
      </c>
      <c r="H16" s="30" t="s">
        <v>29</v>
      </c>
      <c r="I16" s="28">
        <v>3092</v>
      </c>
    </row>
    <row r="17" ht="43.5" customHeight="1" spans="1:9">
      <c r="A17" s="33">
        <v>16</v>
      </c>
      <c r="B17" s="27" t="s">
        <v>90</v>
      </c>
      <c r="C17" s="28" t="s">
        <v>91</v>
      </c>
      <c r="D17" s="28" t="s">
        <v>92</v>
      </c>
      <c r="E17" s="29" t="s">
        <v>26</v>
      </c>
      <c r="F17" s="28" t="s">
        <v>93</v>
      </c>
      <c r="G17" s="28" t="s">
        <v>165</v>
      </c>
      <c r="H17" s="30" t="s">
        <v>29</v>
      </c>
      <c r="I17" s="28">
        <v>2944</v>
      </c>
    </row>
    <row r="18" ht="43.5" customHeight="1" spans="1:9">
      <c r="A18" s="33">
        <v>17</v>
      </c>
      <c r="B18" s="27" t="s">
        <v>139</v>
      </c>
      <c r="C18" s="28" t="s">
        <v>140</v>
      </c>
      <c r="D18" s="28" t="s">
        <v>141</v>
      </c>
      <c r="E18" s="29" t="s">
        <v>26</v>
      </c>
      <c r="F18" s="28" t="s">
        <v>142</v>
      </c>
      <c r="G18" s="28" t="s">
        <v>170</v>
      </c>
      <c r="H18" s="30" t="s">
        <v>29</v>
      </c>
      <c r="I18" s="28">
        <v>2395</v>
      </c>
    </row>
    <row r="19" ht="43.5" customHeight="1" spans="1:9">
      <c r="A19" s="33">
        <v>18</v>
      </c>
      <c r="B19" s="27" t="s">
        <v>100</v>
      </c>
      <c r="C19" s="28" t="s">
        <v>101</v>
      </c>
      <c r="D19" s="28" t="s">
        <v>102</v>
      </c>
      <c r="E19" s="29" t="s">
        <v>26</v>
      </c>
      <c r="F19" s="28" t="s">
        <v>103</v>
      </c>
      <c r="G19" s="28" t="s">
        <v>170</v>
      </c>
      <c r="H19" s="30" t="s">
        <v>29</v>
      </c>
      <c r="I19" s="28">
        <v>2262</v>
      </c>
    </row>
    <row r="20" ht="43.5" spans="1:9">
      <c r="A20" s="33">
        <v>19</v>
      </c>
      <c r="B20" s="27" t="s">
        <v>110</v>
      </c>
      <c r="C20" s="28" t="s">
        <v>111</v>
      </c>
      <c r="D20" s="28" t="s">
        <v>112</v>
      </c>
      <c r="E20" s="29" t="s">
        <v>26</v>
      </c>
      <c r="F20" s="28" t="s">
        <v>113</v>
      </c>
      <c r="G20" s="28" t="s">
        <v>170</v>
      </c>
      <c r="H20" s="30" t="s">
        <v>29</v>
      </c>
      <c r="I20" s="28">
        <v>1824</v>
      </c>
    </row>
    <row r="21" ht="43.5" spans="1:9">
      <c r="A21" s="33">
        <v>20</v>
      </c>
      <c r="B21" s="27" t="s">
        <v>154</v>
      </c>
      <c r="C21" s="28" t="s">
        <v>155</v>
      </c>
      <c r="D21" s="28" t="s">
        <v>156</v>
      </c>
      <c r="E21" s="29" t="s">
        <v>26</v>
      </c>
      <c r="F21" s="28" t="s">
        <v>157</v>
      </c>
      <c r="G21" s="28" t="s">
        <v>170</v>
      </c>
      <c r="H21" s="30" t="s">
        <v>29</v>
      </c>
      <c r="I21" s="28">
        <v>1824</v>
      </c>
    </row>
    <row r="22" ht="72.5" spans="1:9">
      <c r="A22" s="33">
        <v>21</v>
      </c>
      <c r="B22" s="27" t="s">
        <v>115</v>
      </c>
      <c r="C22" s="28" t="s">
        <v>36</v>
      </c>
      <c r="D22" s="28" t="s">
        <v>37</v>
      </c>
      <c r="E22" s="29" t="s">
        <v>26</v>
      </c>
      <c r="F22" s="28" t="s">
        <v>38</v>
      </c>
      <c r="G22" s="28" t="s">
        <v>171</v>
      </c>
      <c r="H22" s="30" t="s">
        <v>29</v>
      </c>
      <c r="I22" s="28">
        <v>1714</v>
      </c>
    </row>
    <row r="23" ht="43.5" spans="1:9">
      <c r="A23" s="33">
        <v>22</v>
      </c>
      <c r="B23" s="27" t="s">
        <v>124</v>
      </c>
      <c r="C23" s="28" t="s">
        <v>125</v>
      </c>
      <c r="D23" s="28" t="s">
        <v>126</v>
      </c>
      <c r="E23" s="29" t="s">
        <v>26</v>
      </c>
      <c r="F23" s="28" t="s">
        <v>127</v>
      </c>
      <c r="G23" s="28" t="s">
        <v>172</v>
      </c>
      <c r="H23" s="30" t="s">
        <v>29</v>
      </c>
      <c r="I23" s="28">
        <v>1713</v>
      </c>
    </row>
    <row r="24" ht="43.5" spans="1:9">
      <c r="A24" s="33">
        <v>23</v>
      </c>
      <c r="B24" s="27" t="s">
        <v>105</v>
      </c>
      <c r="C24" s="28" t="s">
        <v>106</v>
      </c>
      <c r="D24" s="28" t="s">
        <v>107</v>
      </c>
      <c r="E24" s="29" t="s">
        <v>26</v>
      </c>
      <c r="F24" s="28" t="s">
        <v>108</v>
      </c>
      <c r="G24" s="28" t="s">
        <v>173</v>
      </c>
      <c r="H24" s="30" t="s">
        <v>29</v>
      </c>
      <c r="I24" s="28">
        <v>1708</v>
      </c>
    </row>
    <row r="25" ht="43.5" spans="1:9">
      <c r="A25" s="33">
        <v>24</v>
      </c>
      <c r="B25" s="27" t="s">
        <v>85</v>
      </c>
      <c r="C25" s="28" t="s">
        <v>86</v>
      </c>
      <c r="D25" s="28" t="s">
        <v>87</v>
      </c>
      <c r="E25" s="29" t="s">
        <v>26</v>
      </c>
      <c r="F25" s="28" t="s">
        <v>88</v>
      </c>
      <c r="G25" s="28" t="s">
        <v>174</v>
      </c>
      <c r="H25" s="30" t="s">
        <v>29</v>
      </c>
      <c r="I25" s="28">
        <v>936</v>
      </c>
    </row>
    <row r="26" ht="43.5" spans="1:9">
      <c r="A26" s="33">
        <v>25</v>
      </c>
      <c r="B26" s="27" t="s">
        <v>68</v>
      </c>
      <c r="C26" s="28" t="s">
        <v>69</v>
      </c>
      <c r="D26" s="28" t="s">
        <v>70</v>
      </c>
      <c r="E26" s="29" t="s">
        <v>26</v>
      </c>
      <c r="F26" s="28" t="s">
        <v>71</v>
      </c>
      <c r="G26" s="28" t="s">
        <v>175</v>
      </c>
      <c r="H26" s="30" t="s">
        <v>29</v>
      </c>
      <c r="I26" s="28">
        <v>335</v>
      </c>
    </row>
    <row r="27" ht="43.5" spans="1:9">
      <c r="A27" s="33">
        <v>26</v>
      </c>
      <c r="B27" s="27" t="s">
        <v>120</v>
      </c>
      <c r="C27" s="28" t="s">
        <v>121</v>
      </c>
      <c r="D27" s="28" t="s">
        <v>82</v>
      </c>
      <c r="E27" s="29" t="s">
        <v>26</v>
      </c>
      <c r="F27" s="28" t="s">
        <v>122</v>
      </c>
      <c r="G27" s="28" t="s">
        <v>170</v>
      </c>
      <c r="H27" s="30" t="s">
        <v>29</v>
      </c>
      <c r="I27" s="28">
        <v>311</v>
      </c>
    </row>
    <row r="28" spans="7:9">
      <c r="G28" s="28" t="s">
        <v>159</v>
      </c>
      <c r="H28" s="28"/>
      <c r="I28" s="28">
        <f>SUM(I2:I27)</f>
        <v>127991</v>
      </c>
    </row>
  </sheetData>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4"/>
  <sheetViews>
    <sheetView zoomScale="41" zoomScaleNormal="41" topLeftCell="A53" workbookViewId="0">
      <selection activeCell="G78" sqref="G78"/>
    </sheetView>
  </sheetViews>
  <sheetFormatPr defaultColWidth="9" defaultRowHeight="14.5"/>
  <cols>
    <col min="1" max="1" width="9" customWidth="1"/>
    <col min="2" max="2" width="28" style="24" customWidth="1"/>
    <col min="3" max="3" width="40.4545454545455" customWidth="1"/>
    <col min="4" max="4" width="36.8181818181818" customWidth="1"/>
    <col min="5" max="5" width="9" customWidth="1"/>
    <col min="6" max="6" width="47.6363636363636" customWidth="1"/>
    <col min="7" max="7" width="39.6363636363636" style="24" customWidth="1"/>
    <col min="8" max="9" width="17.1818181818182" customWidth="1"/>
    <col min="10" max="10" width="9" customWidth="1"/>
  </cols>
  <sheetData>
    <row r="1" s="23" customFormat="1" ht="15.5" customHeight="1" spans="1:9">
      <c r="A1" s="25" t="s">
        <v>14</v>
      </c>
      <c r="B1" s="25" t="s">
        <v>15</v>
      </c>
      <c r="C1" s="25" t="s">
        <v>16</v>
      </c>
      <c r="D1" s="25" t="s">
        <v>17</v>
      </c>
      <c r="E1" s="25" t="s">
        <v>18</v>
      </c>
      <c r="F1" s="25" t="s">
        <v>19</v>
      </c>
      <c r="G1" s="25" t="s">
        <v>20</v>
      </c>
      <c r="H1" s="25" t="s">
        <v>21</v>
      </c>
      <c r="I1" s="25" t="s">
        <v>22</v>
      </c>
    </row>
    <row r="2" s="23" customFormat="1" ht="58.75" customHeight="1" spans="1:9">
      <c r="A2" s="26">
        <v>1</v>
      </c>
      <c r="B2" s="27" t="s">
        <v>23</v>
      </c>
      <c r="C2" s="28" t="s">
        <v>24</v>
      </c>
      <c r="D2" s="28" t="s">
        <v>25</v>
      </c>
      <c r="E2" s="29" t="s">
        <v>26</v>
      </c>
      <c r="F2" s="28" t="s">
        <v>27</v>
      </c>
      <c r="G2" s="28" t="s">
        <v>176</v>
      </c>
      <c r="H2" s="30" t="s">
        <v>29</v>
      </c>
      <c r="I2" s="28">
        <v>358562</v>
      </c>
    </row>
    <row r="3" s="23" customFormat="1" ht="83" customHeight="1" spans="1:9">
      <c r="A3" s="26">
        <v>2</v>
      </c>
      <c r="B3" s="27" t="s">
        <v>45</v>
      </c>
      <c r="C3" s="28" t="s">
        <v>41</v>
      </c>
      <c r="D3" s="28" t="s">
        <v>42</v>
      </c>
      <c r="E3" s="29" t="s">
        <v>26</v>
      </c>
      <c r="F3" s="28" t="s">
        <v>43</v>
      </c>
      <c r="G3" s="28" t="s">
        <v>177</v>
      </c>
      <c r="H3" s="30" t="s">
        <v>29</v>
      </c>
      <c r="I3" s="28">
        <v>345690</v>
      </c>
    </row>
    <row r="4" s="23" customFormat="1" ht="223.5" customHeight="1" spans="1:9">
      <c r="A4" s="26">
        <v>3</v>
      </c>
      <c r="B4" s="27" t="s">
        <v>30</v>
      </c>
      <c r="C4" s="28" t="s">
        <v>31</v>
      </c>
      <c r="D4" s="28" t="s">
        <v>32</v>
      </c>
      <c r="E4" s="29" t="s">
        <v>26</v>
      </c>
      <c r="F4" s="28" t="s">
        <v>33</v>
      </c>
      <c r="G4" s="28" t="s">
        <v>178</v>
      </c>
      <c r="H4" s="30" t="s">
        <v>29</v>
      </c>
      <c r="I4" s="28">
        <v>340328</v>
      </c>
    </row>
    <row r="5" ht="304.5" customHeight="1" spans="1:17">
      <c r="A5" s="31">
        <v>4</v>
      </c>
      <c r="B5" s="27" t="s">
        <v>63</v>
      </c>
      <c r="C5" s="28" t="s">
        <v>64</v>
      </c>
      <c r="D5" s="28" t="s">
        <v>65</v>
      </c>
      <c r="E5" s="29" t="s">
        <v>26</v>
      </c>
      <c r="F5" s="28" t="s">
        <v>66</v>
      </c>
      <c r="G5" s="28" t="s">
        <v>179</v>
      </c>
      <c r="H5" s="30" t="s">
        <v>29</v>
      </c>
      <c r="I5" s="28">
        <v>336685</v>
      </c>
      <c r="J5" s="32"/>
      <c r="K5" s="32"/>
      <c r="L5" s="32"/>
      <c r="M5" s="32"/>
      <c r="N5" s="32"/>
      <c r="O5" s="32"/>
      <c r="P5" s="32"/>
      <c r="Q5" s="32"/>
    </row>
    <row r="6" ht="246.5" customHeight="1" spans="1:17">
      <c r="A6" s="32">
        <v>5</v>
      </c>
      <c r="B6" s="27" t="s">
        <v>50</v>
      </c>
      <c r="C6" s="28" t="s">
        <v>51</v>
      </c>
      <c r="D6" s="28" t="s">
        <v>52</v>
      </c>
      <c r="E6" s="29" t="s">
        <v>26</v>
      </c>
      <c r="F6" s="28" t="s">
        <v>53</v>
      </c>
      <c r="G6" s="28" t="s">
        <v>180</v>
      </c>
      <c r="H6" s="30" t="s">
        <v>29</v>
      </c>
      <c r="I6" s="28">
        <v>327772</v>
      </c>
      <c r="J6" s="32"/>
      <c r="K6" s="32"/>
      <c r="L6" s="32"/>
      <c r="M6" s="32"/>
      <c r="N6" s="32"/>
      <c r="O6" s="32"/>
      <c r="P6" s="32"/>
      <c r="Q6" s="32"/>
    </row>
    <row r="7" ht="246.5" customHeight="1" spans="1:9">
      <c r="A7" s="33">
        <v>6</v>
      </c>
      <c r="B7" s="27" t="s">
        <v>55</v>
      </c>
      <c r="C7" s="28" t="s">
        <v>51</v>
      </c>
      <c r="D7" s="28" t="s">
        <v>52</v>
      </c>
      <c r="E7" s="29" t="s">
        <v>26</v>
      </c>
      <c r="F7" s="28" t="s">
        <v>53</v>
      </c>
      <c r="G7" s="28" t="s">
        <v>181</v>
      </c>
      <c r="H7" s="30" t="s">
        <v>29</v>
      </c>
      <c r="I7" s="28">
        <v>322027</v>
      </c>
    </row>
    <row r="8" ht="232" customHeight="1" spans="1:9">
      <c r="A8" s="33">
        <v>7</v>
      </c>
      <c r="B8" s="27" t="s">
        <v>81</v>
      </c>
      <c r="C8" s="28" t="s">
        <v>51</v>
      </c>
      <c r="D8" s="28" t="s">
        <v>82</v>
      </c>
      <c r="E8" s="29" t="s">
        <v>26</v>
      </c>
      <c r="F8" s="28" t="s">
        <v>83</v>
      </c>
      <c r="G8" s="28" t="s">
        <v>182</v>
      </c>
      <c r="H8" s="30" t="s">
        <v>29</v>
      </c>
      <c r="I8" s="28">
        <v>314995</v>
      </c>
    </row>
    <row r="9" ht="406" customHeight="1" spans="1:9">
      <c r="A9" s="33">
        <v>8</v>
      </c>
      <c r="B9" s="27" t="s">
        <v>73</v>
      </c>
      <c r="C9" s="28" t="s">
        <v>41</v>
      </c>
      <c r="D9" s="28" t="s">
        <v>42</v>
      </c>
      <c r="E9" s="29" t="s">
        <v>26</v>
      </c>
      <c r="F9" s="28" t="s">
        <v>74</v>
      </c>
      <c r="G9" s="28" t="s">
        <v>183</v>
      </c>
      <c r="H9" s="30" t="s">
        <v>29</v>
      </c>
      <c r="I9" s="28">
        <v>302461</v>
      </c>
    </row>
    <row r="10" ht="409.5" customHeight="1" spans="1:9">
      <c r="A10" s="33">
        <v>9</v>
      </c>
      <c r="B10" s="27" t="s">
        <v>76</v>
      </c>
      <c r="C10" s="28" t="s">
        <v>77</v>
      </c>
      <c r="D10" s="28" t="s">
        <v>78</v>
      </c>
      <c r="E10" s="29" t="s">
        <v>26</v>
      </c>
      <c r="F10" s="28" t="s">
        <v>79</v>
      </c>
      <c r="G10" s="28" t="s">
        <v>184</v>
      </c>
      <c r="H10" s="30" t="s">
        <v>29</v>
      </c>
      <c r="I10" s="28">
        <v>299751</v>
      </c>
    </row>
    <row r="11" ht="409.5" customHeight="1" spans="1:9">
      <c r="A11" s="33">
        <v>10</v>
      </c>
      <c r="B11" s="27" t="s">
        <v>35</v>
      </c>
      <c r="C11" s="28" t="s">
        <v>36</v>
      </c>
      <c r="D11" s="28" t="s">
        <v>37</v>
      </c>
      <c r="E11" s="29" t="s">
        <v>26</v>
      </c>
      <c r="F11" s="28" t="s">
        <v>38</v>
      </c>
      <c r="G11" s="28" t="s">
        <v>185</v>
      </c>
      <c r="H11" s="30" t="s">
        <v>29</v>
      </c>
      <c r="I11" s="28">
        <v>296904</v>
      </c>
    </row>
    <row r="12" ht="409.5" customHeight="1" spans="1:9">
      <c r="A12" s="33">
        <v>11</v>
      </c>
      <c r="B12" s="27" t="s">
        <v>110</v>
      </c>
      <c r="C12" s="28" t="s">
        <v>111</v>
      </c>
      <c r="D12" s="28" t="s">
        <v>112</v>
      </c>
      <c r="E12" s="29" t="s">
        <v>26</v>
      </c>
      <c r="F12" s="28" t="s">
        <v>113</v>
      </c>
      <c r="G12" s="28" t="s">
        <v>186</v>
      </c>
      <c r="H12" s="30" t="s">
        <v>29</v>
      </c>
      <c r="I12" s="28">
        <v>292531</v>
      </c>
    </row>
    <row r="13" ht="275.5" customHeight="1" spans="1:9">
      <c r="A13" s="33">
        <v>12</v>
      </c>
      <c r="B13" s="27" t="s">
        <v>68</v>
      </c>
      <c r="C13" s="28" t="s">
        <v>69</v>
      </c>
      <c r="D13" s="28" t="s">
        <v>70</v>
      </c>
      <c r="E13" s="29" t="s">
        <v>26</v>
      </c>
      <c r="F13" s="28" t="s">
        <v>71</v>
      </c>
      <c r="G13" s="28" t="s">
        <v>187</v>
      </c>
      <c r="H13" s="30" t="s">
        <v>29</v>
      </c>
      <c r="I13" s="28">
        <v>288541</v>
      </c>
    </row>
    <row r="14" ht="159.5" customHeight="1" spans="1:9">
      <c r="A14" s="33">
        <v>13</v>
      </c>
      <c r="B14" s="27" t="s">
        <v>100</v>
      </c>
      <c r="C14" s="28" t="s">
        <v>101</v>
      </c>
      <c r="D14" s="28" t="s">
        <v>102</v>
      </c>
      <c r="E14" s="29" t="s">
        <v>26</v>
      </c>
      <c r="F14" s="28" t="s">
        <v>103</v>
      </c>
      <c r="G14" s="28" t="s">
        <v>188</v>
      </c>
      <c r="H14" s="30" t="s">
        <v>29</v>
      </c>
      <c r="I14" s="28">
        <v>280485</v>
      </c>
    </row>
    <row r="15" ht="101.5" customHeight="1" spans="1:9">
      <c r="A15" s="33">
        <v>14</v>
      </c>
      <c r="B15" s="27" t="s">
        <v>117</v>
      </c>
      <c r="C15" s="28" t="s">
        <v>41</v>
      </c>
      <c r="D15" s="28" t="s">
        <v>42</v>
      </c>
      <c r="E15" s="29" t="s">
        <v>26</v>
      </c>
      <c r="F15" s="28" t="s">
        <v>118</v>
      </c>
      <c r="G15" s="28" t="s">
        <v>189</v>
      </c>
      <c r="H15" s="30" t="s">
        <v>29</v>
      </c>
      <c r="I15" s="28">
        <v>217426</v>
      </c>
    </row>
    <row r="16" ht="101.5" customHeight="1" spans="1:9">
      <c r="A16" s="33">
        <v>15</v>
      </c>
      <c r="B16" s="27" t="s">
        <v>90</v>
      </c>
      <c r="C16" s="28" t="s">
        <v>91</v>
      </c>
      <c r="D16" s="28" t="s">
        <v>92</v>
      </c>
      <c r="E16" s="29" t="s">
        <v>26</v>
      </c>
      <c r="F16" s="28" t="s">
        <v>93</v>
      </c>
      <c r="G16" s="28" t="s">
        <v>190</v>
      </c>
      <c r="H16" s="30" t="s">
        <v>29</v>
      </c>
      <c r="I16" s="28">
        <v>206887</v>
      </c>
    </row>
    <row r="17" ht="130.5" customHeight="1" spans="1:9">
      <c r="A17" s="33">
        <v>16</v>
      </c>
      <c r="B17" s="27" t="s">
        <v>124</v>
      </c>
      <c r="C17" s="28" t="s">
        <v>125</v>
      </c>
      <c r="D17" s="28" t="s">
        <v>126</v>
      </c>
      <c r="E17" s="29" t="s">
        <v>26</v>
      </c>
      <c r="F17" s="28" t="s">
        <v>127</v>
      </c>
      <c r="G17" s="28" t="s">
        <v>191</v>
      </c>
      <c r="H17" s="30" t="s">
        <v>29</v>
      </c>
      <c r="I17" s="28">
        <v>203128</v>
      </c>
    </row>
    <row r="18" ht="174" customHeight="1" spans="1:9">
      <c r="A18" s="33">
        <v>17</v>
      </c>
      <c r="B18" s="27" t="s">
        <v>95</v>
      </c>
      <c r="C18" s="28" t="s">
        <v>96</v>
      </c>
      <c r="D18" s="28" t="s">
        <v>97</v>
      </c>
      <c r="E18" s="29" t="s">
        <v>26</v>
      </c>
      <c r="F18" s="28" t="s">
        <v>98</v>
      </c>
      <c r="G18" s="28" t="s">
        <v>192</v>
      </c>
      <c r="H18" s="30" t="s">
        <v>29</v>
      </c>
      <c r="I18" s="28">
        <v>188899</v>
      </c>
    </row>
    <row r="19" ht="174" customHeight="1" spans="1:9">
      <c r="A19" s="33">
        <v>18</v>
      </c>
      <c r="B19" s="27" t="s">
        <v>85</v>
      </c>
      <c r="C19" s="28" t="s">
        <v>86</v>
      </c>
      <c r="D19" s="28" t="s">
        <v>87</v>
      </c>
      <c r="E19" s="29" t="s">
        <v>26</v>
      </c>
      <c r="F19" s="28" t="s">
        <v>88</v>
      </c>
      <c r="G19" s="28" t="s">
        <v>193</v>
      </c>
      <c r="H19" s="30" t="s">
        <v>29</v>
      </c>
      <c r="I19" s="28">
        <v>184769</v>
      </c>
    </row>
    <row r="20" ht="203" customHeight="1" spans="1:9">
      <c r="A20" s="33">
        <v>19</v>
      </c>
      <c r="B20" s="27" t="s">
        <v>47</v>
      </c>
      <c r="C20" s="28" t="s">
        <v>41</v>
      </c>
      <c r="D20" s="28" t="s">
        <v>42</v>
      </c>
      <c r="E20" s="29" t="s">
        <v>26</v>
      </c>
      <c r="F20" s="28" t="s">
        <v>48</v>
      </c>
      <c r="G20" s="28" t="s">
        <v>194</v>
      </c>
      <c r="H20" s="30" t="s">
        <v>29</v>
      </c>
      <c r="I20" s="28">
        <v>136171</v>
      </c>
    </row>
    <row r="21" ht="43.5" customHeight="1" spans="1:9">
      <c r="A21" s="33">
        <v>20</v>
      </c>
      <c r="B21" s="27" t="s">
        <v>115</v>
      </c>
      <c r="C21" s="28" t="s">
        <v>36</v>
      </c>
      <c r="D21" s="28" t="s">
        <v>37</v>
      </c>
      <c r="E21" s="29" t="s">
        <v>26</v>
      </c>
      <c r="F21" s="28" t="s">
        <v>38</v>
      </c>
      <c r="G21" s="28" t="s">
        <v>195</v>
      </c>
      <c r="H21" s="30" t="s">
        <v>29</v>
      </c>
      <c r="I21" s="28">
        <v>123462</v>
      </c>
    </row>
    <row r="22" ht="290" customHeight="1" spans="1:9">
      <c r="A22" s="33">
        <v>21</v>
      </c>
      <c r="B22" s="27" t="s">
        <v>40</v>
      </c>
      <c r="C22" s="28" t="s">
        <v>41</v>
      </c>
      <c r="D22" s="28" t="s">
        <v>42</v>
      </c>
      <c r="E22" s="29" t="s">
        <v>26</v>
      </c>
      <c r="F22" s="28" t="s">
        <v>43</v>
      </c>
      <c r="G22" s="28" t="s">
        <v>196</v>
      </c>
      <c r="H22" s="30" t="s">
        <v>29</v>
      </c>
      <c r="I22" s="28">
        <v>123455</v>
      </c>
    </row>
    <row r="23" ht="409.5" customHeight="1" spans="1:9">
      <c r="A23" s="33">
        <v>22</v>
      </c>
      <c r="B23" s="27" t="s">
        <v>197</v>
      </c>
      <c r="C23" s="28" t="s">
        <v>198</v>
      </c>
      <c r="D23" s="28" t="s">
        <v>199</v>
      </c>
      <c r="E23" s="29" t="s">
        <v>26</v>
      </c>
      <c r="F23" s="28" t="s">
        <v>200</v>
      </c>
      <c r="G23" s="28" t="s">
        <v>201</v>
      </c>
      <c r="H23" s="30" t="s">
        <v>29</v>
      </c>
      <c r="I23" s="28">
        <v>100459</v>
      </c>
    </row>
    <row r="24" ht="58" customHeight="1" spans="1:9">
      <c r="A24" s="33">
        <v>23</v>
      </c>
      <c r="B24" s="27" t="s">
        <v>134</v>
      </c>
      <c r="C24" s="28" t="s">
        <v>135</v>
      </c>
      <c r="D24" s="28" t="s">
        <v>136</v>
      </c>
      <c r="E24" s="29" t="s">
        <v>26</v>
      </c>
      <c r="F24" s="28" t="s">
        <v>137</v>
      </c>
      <c r="G24" s="28" t="s">
        <v>202</v>
      </c>
      <c r="H24" s="30" t="s">
        <v>29</v>
      </c>
      <c r="I24" s="28">
        <v>100310</v>
      </c>
    </row>
    <row r="25" ht="145" customHeight="1" spans="1:9">
      <c r="A25" s="33">
        <v>24</v>
      </c>
      <c r="B25" s="27" t="s">
        <v>129</v>
      </c>
      <c r="C25" s="28" t="s">
        <v>130</v>
      </c>
      <c r="D25" s="28" t="s">
        <v>131</v>
      </c>
      <c r="E25" s="29" t="s">
        <v>26</v>
      </c>
      <c r="F25" s="28" t="s">
        <v>132</v>
      </c>
      <c r="G25" s="28" t="s">
        <v>203</v>
      </c>
      <c r="H25" s="30" t="s">
        <v>29</v>
      </c>
      <c r="I25" s="28">
        <v>78359</v>
      </c>
    </row>
    <row r="26" ht="72.5" customHeight="1" spans="1:9">
      <c r="A26" s="33">
        <v>25</v>
      </c>
      <c r="B26" s="27" t="s">
        <v>139</v>
      </c>
      <c r="C26" s="28" t="s">
        <v>140</v>
      </c>
      <c r="D26" s="28" t="s">
        <v>141</v>
      </c>
      <c r="E26" s="29" t="s">
        <v>26</v>
      </c>
      <c r="F26" s="28" t="s">
        <v>142</v>
      </c>
      <c r="G26" s="28" t="s">
        <v>172</v>
      </c>
      <c r="H26" s="30" t="s">
        <v>29</v>
      </c>
      <c r="I26" s="28">
        <v>49025</v>
      </c>
    </row>
    <row r="27" ht="72.5" customHeight="1" spans="1:9">
      <c r="A27" s="33">
        <v>26</v>
      </c>
      <c r="B27" s="27" t="s">
        <v>120</v>
      </c>
      <c r="C27" s="28" t="s">
        <v>121</v>
      </c>
      <c r="D27" s="28" t="s">
        <v>82</v>
      </c>
      <c r="E27" s="29" t="s">
        <v>26</v>
      </c>
      <c r="F27" s="28" t="s">
        <v>122</v>
      </c>
      <c r="G27" s="28" t="s">
        <v>204</v>
      </c>
      <c r="H27" s="30" t="s">
        <v>29</v>
      </c>
      <c r="I27" s="28">
        <v>39789</v>
      </c>
    </row>
    <row r="28" ht="58" customHeight="1" spans="1:9">
      <c r="A28" s="33">
        <v>27</v>
      </c>
      <c r="B28" s="27" t="s">
        <v>144</v>
      </c>
      <c r="C28" s="28" t="s">
        <v>145</v>
      </c>
      <c r="D28" s="28" t="s">
        <v>146</v>
      </c>
      <c r="E28" s="29" t="s">
        <v>26</v>
      </c>
      <c r="F28" s="28" t="s">
        <v>147</v>
      </c>
      <c r="G28" s="28" t="s">
        <v>205</v>
      </c>
      <c r="H28" s="30" t="s">
        <v>29</v>
      </c>
      <c r="I28" s="28">
        <v>29153</v>
      </c>
    </row>
    <row r="29" ht="43.5" customHeight="1" spans="1:9">
      <c r="A29" s="33">
        <v>28</v>
      </c>
      <c r="B29" s="27" t="s">
        <v>105</v>
      </c>
      <c r="C29" s="28" t="s">
        <v>106</v>
      </c>
      <c r="D29" s="28" t="s">
        <v>107</v>
      </c>
      <c r="E29" s="29" t="s">
        <v>26</v>
      </c>
      <c r="F29" s="28" t="s">
        <v>108</v>
      </c>
      <c r="G29" s="28" t="s">
        <v>206</v>
      </c>
      <c r="H29" s="30" t="s">
        <v>29</v>
      </c>
      <c r="I29" s="28">
        <v>22584</v>
      </c>
    </row>
    <row r="30" ht="43.5" customHeight="1" spans="1:9">
      <c r="A30" s="33">
        <v>29</v>
      </c>
      <c r="B30" s="27" t="s">
        <v>149</v>
      </c>
      <c r="C30" s="28" t="s">
        <v>150</v>
      </c>
      <c r="D30" s="28" t="s">
        <v>151</v>
      </c>
      <c r="E30" s="29" t="s">
        <v>26</v>
      </c>
      <c r="F30" s="28" t="s">
        <v>152</v>
      </c>
      <c r="G30" s="28" t="s">
        <v>207</v>
      </c>
      <c r="H30" s="30" t="s">
        <v>29</v>
      </c>
      <c r="I30" s="28">
        <v>14088</v>
      </c>
    </row>
    <row r="31" ht="72.5" customHeight="1" spans="1:9">
      <c r="A31" s="33">
        <v>30</v>
      </c>
      <c r="B31" s="27" t="s">
        <v>58</v>
      </c>
      <c r="C31" s="28" t="s">
        <v>59</v>
      </c>
      <c r="D31" s="28" t="s">
        <v>60</v>
      </c>
      <c r="E31" s="29" t="s">
        <v>26</v>
      </c>
      <c r="F31" s="28" t="s">
        <v>61</v>
      </c>
      <c r="G31" s="28" t="s">
        <v>208</v>
      </c>
      <c r="H31" s="30" t="s">
        <v>29</v>
      </c>
      <c r="I31" s="28">
        <v>11060</v>
      </c>
    </row>
    <row r="32" ht="58" customHeight="1" spans="1:9">
      <c r="A32" s="33">
        <v>31</v>
      </c>
      <c r="B32" s="27" t="s">
        <v>154</v>
      </c>
      <c r="C32" s="28" t="s">
        <v>155</v>
      </c>
      <c r="D32" s="28" t="s">
        <v>156</v>
      </c>
      <c r="E32" s="29" t="s">
        <v>26</v>
      </c>
      <c r="F32" s="28" t="s">
        <v>157</v>
      </c>
      <c r="G32" s="28" t="s">
        <v>209</v>
      </c>
      <c r="H32" s="30" t="s">
        <v>29</v>
      </c>
      <c r="I32" s="28">
        <v>3166</v>
      </c>
    </row>
    <row r="33" ht="43.5" customHeight="1" spans="1:9">
      <c r="A33" s="33">
        <v>32</v>
      </c>
      <c r="B33" s="27" t="s">
        <v>210</v>
      </c>
      <c r="C33" s="28" t="s">
        <v>211</v>
      </c>
      <c r="D33" s="28" t="s">
        <v>212</v>
      </c>
      <c r="E33" s="29" t="s">
        <v>26</v>
      </c>
      <c r="F33" s="28" t="s">
        <v>213</v>
      </c>
      <c r="G33" s="28" t="s">
        <v>214</v>
      </c>
      <c r="H33" s="30" t="s">
        <v>29</v>
      </c>
      <c r="I33" s="28">
        <v>2384</v>
      </c>
    </row>
    <row r="34" spans="7:9">
      <c r="G34" s="28"/>
      <c r="H34" s="28"/>
      <c r="I34" s="28">
        <f>SUM(I2:I33)</f>
        <v>5941306</v>
      </c>
    </row>
  </sheetData>
  <pageMargins left="0.7" right="0.7" top="0.75" bottom="0.75" header="0.3" footer="0.3"/>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32"/>
  <sheetViews>
    <sheetView zoomScale="41" zoomScaleNormal="41" workbookViewId="0">
      <selection activeCell="G18" sqref="G18"/>
    </sheetView>
  </sheetViews>
  <sheetFormatPr defaultColWidth="9" defaultRowHeight="14.5"/>
  <cols>
    <col min="1" max="1" width="44.9090909090909" customWidth="1"/>
    <col min="2" max="2" width="15.3636363636364" customWidth="1"/>
    <col min="3" max="3" width="15.5454545454545" customWidth="1"/>
    <col min="4" max="4" width="12" customWidth="1"/>
    <col min="5" max="5" width="26.3636363636364" customWidth="1"/>
    <col min="6" max="7" width="16.1818181818182" customWidth="1"/>
    <col min="8" max="8" width="19.5454545454545" customWidth="1"/>
    <col min="9" max="9" width="34.0909090909091" customWidth="1"/>
    <col min="10" max="10" width="13.7272727272727" customWidth="1"/>
    <col min="11" max="11" width="14.0909090909091" customWidth="1"/>
    <col min="12" max="12" width="12" customWidth="1"/>
    <col min="13" max="13" width="26.3636363636364" customWidth="1"/>
    <col min="17" max="17" width="32.9090909090909" customWidth="1"/>
    <col min="18" max="18" width="9.36363636363636" customWidth="1"/>
    <col min="19" max="19" width="9.18181818181818" customWidth="1"/>
    <col min="21" max="21" width="11.7272727272727" customWidth="1"/>
    <col min="25" max="25" width="45.7272727272727" customWidth="1"/>
    <col min="26" max="26" width="12.0909090909091" customWidth="1"/>
  </cols>
  <sheetData>
    <row r="1" ht="31.75" customHeight="1" spans="1:34">
      <c r="A1" s="1" t="s">
        <v>15</v>
      </c>
      <c r="B1" s="2" t="s">
        <v>22</v>
      </c>
      <c r="C1" s="3" t="s">
        <v>215</v>
      </c>
      <c r="D1" s="4" t="s">
        <v>216</v>
      </c>
      <c r="E1" s="5" t="s">
        <v>217</v>
      </c>
      <c r="F1" s="6" t="s">
        <v>218</v>
      </c>
      <c r="G1" s="6"/>
      <c r="H1" s="7"/>
      <c r="I1" s="1" t="s">
        <v>15</v>
      </c>
      <c r="J1" s="2" t="s">
        <v>22</v>
      </c>
      <c r="K1" s="3" t="s">
        <v>215</v>
      </c>
      <c r="L1" s="4" t="s">
        <v>216</v>
      </c>
      <c r="M1" s="5" t="s">
        <v>217</v>
      </c>
      <c r="N1" s="6" t="s">
        <v>219</v>
      </c>
      <c r="O1" s="6"/>
      <c r="P1" s="7"/>
      <c r="Q1" s="1" t="s">
        <v>15</v>
      </c>
      <c r="R1" s="2" t="s">
        <v>22</v>
      </c>
      <c r="S1" s="3" t="s">
        <v>215</v>
      </c>
      <c r="T1" s="4" t="s">
        <v>216</v>
      </c>
      <c r="U1" s="5" t="s">
        <v>217</v>
      </c>
      <c r="V1" s="6" t="s">
        <v>220</v>
      </c>
      <c r="W1" s="6"/>
      <c r="X1" s="7"/>
      <c r="Y1" s="1" t="s">
        <v>15</v>
      </c>
      <c r="Z1" s="2" t="s">
        <v>22</v>
      </c>
      <c r="AA1" s="3" t="s">
        <v>215</v>
      </c>
      <c r="AB1" s="4" t="s">
        <v>216</v>
      </c>
      <c r="AC1" s="5" t="s">
        <v>217</v>
      </c>
      <c r="AD1" s="6" t="s">
        <v>221</v>
      </c>
      <c r="AE1" s="6"/>
      <c r="AF1" s="7"/>
      <c r="AG1" s="18" t="s">
        <v>18</v>
      </c>
      <c r="AH1" s="18" t="s">
        <v>222</v>
      </c>
    </row>
    <row r="2" ht="44" customHeight="1" spans="1:34">
      <c r="A2" s="8" t="s">
        <v>23</v>
      </c>
      <c r="B2" s="2">
        <v>1248639</v>
      </c>
      <c r="C2" s="3">
        <v>1248639</v>
      </c>
      <c r="D2" s="9">
        <v>0</v>
      </c>
      <c r="E2" s="5">
        <v>1248639</v>
      </c>
      <c r="F2" s="21" t="s">
        <v>223</v>
      </c>
      <c r="G2" s="21"/>
      <c r="H2" s="22"/>
      <c r="I2" s="8" t="s">
        <v>23</v>
      </c>
      <c r="J2" s="2">
        <v>1908763</v>
      </c>
      <c r="K2" s="3">
        <v>1908763</v>
      </c>
      <c r="L2" s="9">
        <v>0</v>
      </c>
      <c r="M2" s="5">
        <v>1908763</v>
      </c>
      <c r="N2" s="21" t="s">
        <v>224</v>
      </c>
      <c r="O2" s="21"/>
      <c r="P2" s="22"/>
      <c r="Q2" s="8" t="s">
        <v>45</v>
      </c>
      <c r="R2" s="2">
        <v>495444</v>
      </c>
      <c r="S2" s="3">
        <v>495444</v>
      </c>
      <c r="T2" s="9">
        <v>0</v>
      </c>
      <c r="U2" s="5">
        <v>495444</v>
      </c>
      <c r="V2" s="21" t="s">
        <v>225</v>
      </c>
      <c r="W2" s="21"/>
      <c r="X2" s="22"/>
      <c r="Y2" s="8" t="s">
        <v>35</v>
      </c>
      <c r="Z2" s="2">
        <v>849465</v>
      </c>
      <c r="AA2" s="3">
        <v>849465</v>
      </c>
      <c r="AB2" s="9">
        <v>0</v>
      </c>
      <c r="AC2" s="5">
        <v>849465</v>
      </c>
      <c r="AD2" s="21"/>
      <c r="AE2" s="21"/>
      <c r="AF2" s="22"/>
      <c r="AG2" s="19" t="s">
        <v>226</v>
      </c>
      <c r="AH2" s="19">
        <v>0</v>
      </c>
    </row>
    <row r="3" ht="44" customHeight="1" spans="1:34">
      <c r="A3" s="8" t="s">
        <v>30</v>
      </c>
      <c r="B3" s="2">
        <v>1162685</v>
      </c>
      <c r="C3" s="3">
        <v>1162685</v>
      </c>
      <c r="D3" s="9">
        <v>0</v>
      </c>
      <c r="E3" s="5">
        <v>1162685</v>
      </c>
      <c r="I3" s="8" t="s">
        <v>76</v>
      </c>
      <c r="J3" s="2">
        <v>987650</v>
      </c>
      <c r="K3" s="3">
        <v>987650</v>
      </c>
      <c r="L3" s="9">
        <v>0</v>
      </c>
      <c r="M3" s="5">
        <v>987650</v>
      </c>
      <c r="Q3" s="8" t="s">
        <v>23</v>
      </c>
      <c r="R3" s="2">
        <v>494547</v>
      </c>
      <c r="S3" s="3">
        <v>494547</v>
      </c>
      <c r="T3" s="9">
        <v>0</v>
      </c>
      <c r="U3" s="5">
        <v>494547</v>
      </c>
      <c r="Y3" s="8" t="s">
        <v>45</v>
      </c>
      <c r="Z3" s="2">
        <v>842528</v>
      </c>
      <c r="AA3" s="3">
        <v>842528</v>
      </c>
      <c r="AB3" s="9">
        <v>0</v>
      </c>
      <c r="AC3" s="5">
        <v>842528</v>
      </c>
      <c r="AG3" t="s">
        <v>26</v>
      </c>
      <c r="AH3" s="20">
        <v>30</v>
      </c>
    </row>
    <row r="4" ht="31.75" customHeight="1" spans="1:29">
      <c r="A4" s="8" t="s">
        <v>35</v>
      </c>
      <c r="B4" s="2">
        <v>1140325</v>
      </c>
      <c r="C4" s="3">
        <v>1140325</v>
      </c>
      <c r="D4" s="9">
        <v>0</v>
      </c>
      <c r="E4" s="5">
        <v>1140325</v>
      </c>
      <c r="I4" s="8" t="s">
        <v>50</v>
      </c>
      <c r="J4" s="2">
        <v>986353</v>
      </c>
      <c r="K4" s="3">
        <v>986353</v>
      </c>
      <c r="L4" s="9">
        <v>0</v>
      </c>
      <c r="M4" s="5">
        <v>986353</v>
      </c>
      <c r="Q4" s="8" t="s">
        <v>30</v>
      </c>
      <c r="R4" s="2">
        <v>494015</v>
      </c>
      <c r="S4" s="3">
        <v>494015</v>
      </c>
      <c r="T4" s="9">
        <v>0</v>
      </c>
      <c r="U4" s="5">
        <v>494015</v>
      </c>
      <c r="Y4" s="8" t="s">
        <v>23</v>
      </c>
      <c r="Z4" s="2">
        <v>833036</v>
      </c>
      <c r="AA4" s="3">
        <v>833036</v>
      </c>
      <c r="AB4" s="9">
        <v>0</v>
      </c>
      <c r="AC4" s="5">
        <v>833036</v>
      </c>
    </row>
    <row r="5" ht="15.5" customHeight="1" spans="1:29">
      <c r="A5" s="8" t="s">
        <v>40</v>
      </c>
      <c r="B5" s="2">
        <v>1120404</v>
      </c>
      <c r="C5" s="3">
        <v>1120404</v>
      </c>
      <c r="D5" s="9">
        <v>0</v>
      </c>
      <c r="E5" s="5">
        <v>1120404</v>
      </c>
      <c r="I5" s="8" t="s">
        <v>35</v>
      </c>
      <c r="J5" s="2">
        <v>983730</v>
      </c>
      <c r="K5" s="3">
        <v>983730</v>
      </c>
      <c r="L5" s="9">
        <v>0</v>
      </c>
      <c r="M5" s="5">
        <v>983730</v>
      </c>
      <c r="Q5" s="8" t="s">
        <v>50</v>
      </c>
      <c r="R5" s="2">
        <v>487586</v>
      </c>
      <c r="S5" s="3">
        <v>487586</v>
      </c>
      <c r="T5" s="9">
        <v>0</v>
      </c>
      <c r="U5" s="5">
        <v>487586</v>
      </c>
      <c r="Y5" s="8" t="s">
        <v>50</v>
      </c>
      <c r="Z5" s="2">
        <v>822493</v>
      </c>
      <c r="AA5" s="3">
        <v>822493</v>
      </c>
      <c r="AB5" s="9">
        <v>0</v>
      </c>
      <c r="AC5" s="5">
        <v>822493</v>
      </c>
    </row>
    <row r="6" ht="40.25" customHeight="1" spans="1:29">
      <c r="A6" s="8" t="s">
        <v>45</v>
      </c>
      <c r="B6" s="2">
        <v>686795</v>
      </c>
      <c r="C6" s="3">
        <v>686795</v>
      </c>
      <c r="D6" s="9">
        <v>0</v>
      </c>
      <c r="E6" s="5">
        <v>686795</v>
      </c>
      <c r="I6" s="8" t="s">
        <v>30</v>
      </c>
      <c r="J6" s="2">
        <v>938567</v>
      </c>
      <c r="K6" s="3">
        <v>938567</v>
      </c>
      <c r="L6" s="9">
        <v>0</v>
      </c>
      <c r="M6" s="5">
        <v>938567</v>
      </c>
      <c r="Q6" s="8" t="s">
        <v>35</v>
      </c>
      <c r="R6" s="2">
        <v>486529</v>
      </c>
      <c r="S6" s="3">
        <v>486529</v>
      </c>
      <c r="T6" s="9">
        <v>0</v>
      </c>
      <c r="U6" s="5">
        <v>486529</v>
      </c>
      <c r="Y6" s="8" t="s">
        <v>227</v>
      </c>
      <c r="Z6" s="2">
        <v>818049</v>
      </c>
      <c r="AA6" s="3">
        <v>818049</v>
      </c>
      <c r="AB6" s="9">
        <v>0</v>
      </c>
      <c r="AC6" s="5">
        <v>818049</v>
      </c>
    </row>
    <row r="7" ht="31.75" customHeight="1" spans="1:29">
      <c r="A7" s="8" t="s">
        <v>47</v>
      </c>
      <c r="B7" s="2">
        <v>669731</v>
      </c>
      <c r="C7" s="3">
        <v>669731</v>
      </c>
      <c r="D7" s="9">
        <v>0</v>
      </c>
      <c r="E7" s="5">
        <v>669731</v>
      </c>
      <c r="I7" s="8" t="s">
        <v>63</v>
      </c>
      <c r="J7" s="2">
        <v>900304</v>
      </c>
      <c r="K7" s="3">
        <v>900304</v>
      </c>
      <c r="L7" s="9">
        <v>0</v>
      </c>
      <c r="M7" s="5">
        <v>900304</v>
      </c>
      <c r="Q7" s="8" t="s">
        <v>55</v>
      </c>
      <c r="R7" s="2">
        <v>485770</v>
      </c>
      <c r="S7" s="3">
        <v>485770</v>
      </c>
      <c r="T7" s="9">
        <v>0</v>
      </c>
      <c r="U7" s="5">
        <v>485770</v>
      </c>
      <c r="Y7" s="8" t="s">
        <v>81</v>
      </c>
      <c r="Z7" s="2">
        <v>813400</v>
      </c>
      <c r="AA7" s="3">
        <v>813400</v>
      </c>
      <c r="AB7" s="9">
        <v>0</v>
      </c>
      <c r="AC7" s="5">
        <v>813400</v>
      </c>
    </row>
    <row r="8" ht="28.75" customHeight="1" spans="1:29">
      <c r="A8" s="8" t="s">
        <v>50</v>
      </c>
      <c r="B8" s="2">
        <v>652910</v>
      </c>
      <c r="C8" s="3">
        <v>652910</v>
      </c>
      <c r="D8" s="9">
        <v>0</v>
      </c>
      <c r="E8" s="5">
        <v>652910</v>
      </c>
      <c r="F8" s="12"/>
      <c r="I8" s="8" t="s">
        <v>45</v>
      </c>
      <c r="J8" s="2">
        <v>847847</v>
      </c>
      <c r="K8" s="3">
        <v>847847</v>
      </c>
      <c r="L8" s="9">
        <v>0</v>
      </c>
      <c r="M8" s="5">
        <v>847847</v>
      </c>
      <c r="N8" s="12"/>
      <c r="Q8" s="8" t="s">
        <v>68</v>
      </c>
      <c r="R8" s="2">
        <v>479594</v>
      </c>
      <c r="S8" s="3">
        <v>479594</v>
      </c>
      <c r="T8" s="9">
        <v>0</v>
      </c>
      <c r="U8" s="5">
        <v>479594</v>
      </c>
      <c r="Y8" s="8" t="s">
        <v>73</v>
      </c>
      <c r="Z8" s="2">
        <v>794532</v>
      </c>
      <c r="AA8" s="3">
        <v>794532</v>
      </c>
      <c r="AB8" s="9">
        <v>0</v>
      </c>
      <c r="AC8" s="5">
        <v>794532</v>
      </c>
    </row>
    <row r="9" ht="29.4" customHeight="1" spans="1:29">
      <c r="A9" s="8" t="s">
        <v>55</v>
      </c>
      <c r="B9" s="2">
        <v>651316</v>
      </c>
      <c r="C9" s="3">
        <v>651316</v>
      </c>
      <c r="D9" s="9">
        <v>0</v>
      </c>
      <c r="E9" s="5">
        <v>651316</v>
      </c>
      <c r="F9" s="13"/>
      <c r="I9" s="8" t="s">
        <v>73</v>
      </c>
      <c r="J9" s="2">
        <v>839304</v>
      </c>
      <c r="K9" s="3">
        <v>839304</v>
      </c>
      <c r="L9" s="9">
        <v>0</v>
      </c>
      <c r="M9" s="5">
        <v>839304</v>
      </c>
      <c r="Q9" s="8" t="s">
        <v>81</v>
      </c>
      <c r="R9" s="2">
        <v>478663</v>
      </c>
      <c r="S9" s="3">
        <v>478663</v>
      </c>
      <c r="T9" s="9">
        <v>0</v>
      </c>
      <c r="U9" s="5">
        <v>478663</v>
      </c>
      <c r="Y9" s="8" t="s">
        <v>100</v>
      </c>
      <c r="Z9" s="2">
        <v>786427</v>
      </c>
      <c r="AA9" s="3">
        <v>786427</v>
      </c>
      <c r="AB9" s="9">
        <v>0</v>
      </c>
      <c r="AC9" s="5">
        <v>786427</v>
      </c>
    </row>
    <row r="10" ht="15.5" customHeight="1" spans="1:29">
      <c r="A10" s="8" t="s">
        <v>58</v>
      </c>
      <c r="B10" s="2">
        <v>629230</v>
      </c>
      <c r="C10" s="3">
        <v>629230</v>
      </c>
      <c r="D10" s="9">
        <v>0</v>
      </c>
      <c r="E10" s="5">
        <v>629230</v>
      </c>
      <c r="I10" s="8" t="s">
        <v>81</v>
      </c>
      <c r="J10" s="2">
        <v>783933</v>
      </c>
      <c r="K10" s="3">
        <v>783933</v>
      </c>
      <c r="L10" s="9">
        <v>0</v>
      </c>
      <c r="M10" s="5">
        <v>783933</v>
      </c>
      <c r="Q10" s="8" t="s">
        <v>40</v>
      </c>
      <c r="R10" s="2">
        <v>478429</v>
      </c>
      <c r="S10" s="3">
        <v>478429</v>
      </c>
      <c r="T10" s="9">
        <v>0</v>
      </c>
      <c r="U10" s="5">
        <v>478429</v>
      </c>
      <c r="Y10" s="8" t="s">
        <v>30</v>
      </c>
      <c r="Z10" s="2">
        <v>749282</v>
      </c>
      <c r="AA10" s="3">
        <v>749282</v>
      </c>
      <c r="AB10" s="9">
        <v>0</v>
      </c>
      <c r="AC10" s="5">
        <v>749282</v>
      </c>
    </row>
    <row r="11" ht="15.5" customHeight="1" spans="1:29">
      <c r="A11" s="8" t="s">
        <v>63</v>
      </c>
      <c r="B11" s="2">
        <v>598360</v>
      </c>
      <c r="C11" s="3">
        <v>598360</v>
      </c>
      <c r="D11" s="9">
        <v>0</v>
      </c>
      <c r="E11" s="5">
        <v>598360</v>
      </c>
      <c r="I11" s="8" t="s">
        <v>55</v>
      </c>
      <c r="J11" s="2">
        <v>765235</v>
      </c>
      <c r="K11" s="3">
        <v>765235</v>
      </c>
      <c r="L11" s="9">
        <v>0</v>
      </c>
      <c r="M11" s="5">
        <v>765235</v>
      </c>
      <c r="Q11" s="8" t="s">
        <v>73</v>
      </c>
      <c r="R11" s="2">
        <v>476624</v>
      </c>
      <c r="S11" s="3">
        <v>476624</v>
      </c>
      <c r="T11" s="9">
        <v>0</v>
      </c>
      <c r="U11" s="5">
        <v>476624</v>
      </c>
      <c r="Y11" s="8" t="s">
        <v>40</v>
      </c>
      <c r="Z11" s="2">
        <v>739437</v>
      </c>
      <c r="AA11" s="3">
        <v>739437</v>
      </c>
      <c r="AB11" s="9">
        <v>0</v>
      </c>
      <c r="AC11" s="5">
        <v>739437</v>
      </c>
    </row>
    <row r="12" ht="15.5" customHeight="1" spans="1:29">
      <c r="A12" s="8" t="s">
        <v>68</v>
      </c>
      <c r="B12" s="2">
        <v>591797</v>
      </c>
      <c r="C12" s="3">
        <v>591797</v>
      </c>
      <c r="D12" s="9">
        <v>0</v>
      </c>
      <c r="E12" s="5">
        <v>591797</v>
      </c>
      <c r="I12" s="8" t="s">
        <v>47</v>
      </c>
      <c r="J12" s="2">
        <v>289022</v>
      </c>
      <c r="K12" s="3">
        <v>289022</v>
      </c>
      <c r="L12" s="9">
        <v>0</v>
      </c>
      <c r="M12" s="5">
        <v>289022</v>
      </c>
      <c r="Q12" s="8" t="s">
        <v>76</v>
      </c>
      <c r="R12" s="2">
        <v>462967</v>
      </c>
      <c r="S12" s="3">
        <v>462967</v>
      </c>
      <c r="T12" s="9">
        <v>0</v>
      </c>
      <c r="U12" s="5">
        <v>462967</v>
      </c>
      <c r="Y12" s="8" t="s">
        <v>47</v>
      </c>
      <c r="Z12" s="2">
        <v>711077</v>
      </c>
      <c r="AA12" s="3">
        <v>711077</v>
      </c>
      <c r="AB12" s="9">
        <v>0</v>
      </c>
      <c r="AC12" s="5">
        <v>711077</v>
      </c>
    </row>
    <row r="13" ht="15.5" customHeight="1" spans="1:29">
      <c r="A13" s="8" t="s">
        <v>73</v>
      </c>
      <c r="B13" s="2">
        <v>590340</v>
      </c>
      <c r="C13" s="3">
        <v>590340</v>
      </c>
      <c r="D13" s="9">
        <v>0</v>
      </c>
      <c r="E13" s="5">
        <v>590340</v>
      </c>
      <c r="I13" s="8" t="s">
        <v>95</v>
      </c>
      <c r="J13" s="2">
        <v>281474</v>
      </c>
      <c r="K13" s="3">
        <v>281474</v>
      </c>
      <c r="L13" s="9">
        <v>0</v>
      </c>
      <c r="M13" s="5">
        <v>281474</v>
      </c>
      <c r="Q13" s="8" t="s">
        <v>47</v>
      </c>
      <c r="R13" s="2">
        <v>462497</v>
      </c>
      <c r="S13" s="3">
        <v>462497</v>
      </c>
      <c r="T13" s="9">
        <v>0</v>
      </c>
      <c r="U13" s="5">
        <v>462497</v>
      </c>
      <c r="Y13" s="8" t="s">
        <v>68</v>
      </c>
      <c r="Z13" s="2">
        <v>704700</v>
      </c>
      <c r="AA13" s="3">
        <v>704700</v>
      </c>
      <c r="AB13" s="9">
        <v>0</v>
      </c>
      <c r="AC13" s="5">
        <v>704700</v>
      </c>
    </row>
    <row r="14" ht="15.5" customHeight="1" spans="1:29">
      <c r="A14" s="8" t="s">
        <v>76</v>
      </c>
      <c r="B14" s="2">
        <v>579680</v>
      </c>
      <c r="C14" s="3">
        <v>579680</v>
      </c>
      <c r="D14" s="9">
        <v>0</v>
      </c>
      <c r="E14" s="5">
        <v>579680</v>
      </c>
      <c r="I14" s="8" t="s">
        <v>40</v>
      </c>
      <c r="J14" s="2">
        <v>273225</v>
      </c>
      <c r="K14" s="3">
        <v>273225</v>
      </c>
      <c r="L14" s="9">
        <v>0</v>
      </c>
      <c r="M14" s="5">
        <v>273225</v>
      </c>
      <c r="Q14" s="8" t="s">
        <v>100</v>
      </c>
      <c r="R14" s="2">
        <v>454154</v>
      </c>
      <c r="S14" s="3">
        <v>454154</v>
      </c>
      <c r="T14" s="9">
        <v>0</v>
      </c>
      <c r="U14" s="5">
        <v>454154</v>
      </c>
      <c r="Y14" s="8" t="s">
        <v>76</v>
      </c>
      <c r="Z14" s="2">
        <v>653378</v>
      </c>
      <c r="AA14" s="3">
        <v>653378</v>
      </c>
      <c r="AB14" s="9">
        <v>0</v>
      </c>
      <c r="AC14" s="5">
        <v>653378</v>
      </c>
    </row>
    <row r="15" ht="15.5" customHeight="1" spans="1:29">
      <c r="A15" s="8" t="s">
        <v>81</v>
      </c>
      <c r="B15" s="2">
        <v>565799</v>
      </c>
      <c r="C15" s="3">
        <v>565799</v>
      </c>
      <c r="D15" s="9">
        <v>0</v>
      </c>
      <c r="E15" s="5">
        <v>565799</v>
      </c>
      <c r="I15" s="8" t="s">
        <v>100</v>
      </c>
      <c r="J15" s="2">
        <v>260076</v>
      </c>
      <c r="K15" s="3">
        <v>260076</v>
      </c>
      <c r="L15" s="9">
        <v>0</v>
      </c>
      <c r="M15" s="5">
        <v>260076</v>
      </c>
      <c r="Q15" s="8" t="s">
        <v>110</v>
      </c>
      <c r="R15" s="2">
        <v>429559</v>
      </c>
      <c r="S15" s="3">
        <v>429559</v>
      </c>
      <c r="T15" s="9">
        <v>0</v>
      </c>
      <c r="U15" s="5">
        <v>429559</v>
      </c>
      <c r="Y15" s="8" t="s">
        <v>63</v>
      </c>
      <c r="Z15" s="2">
        <v>609577</v>
      </c>
      <c r="AA15" s="3">
        <v>609577</v>
      </c>
      <c r="AB15" s="9">
        <v>0</v>
      </c>
      <c r="AC15" s="5">
        <v>609577</v>
      </c>
    </row>
    <row r="16" ht="15.5" customHeight="1" spans="1:29">
      <c r="A16" s="8" t="s">
        <v>85</v>
      </c>
      <c r="B16" s="2">
        <v>471591</v>
      </c>
      <c r="C16" s="3">
        <v>471591</v>
      </c>
      <c r="D16" s="9">
        <v>0</v>
      </c>
      <c r="E16" s="5">
        <v>471591</v>
      </c>
      <c r="I16" s="8" t="s">
        <v>68</v>
      </c>
      <c r="J16" s="2">
        <v>252521</v>
      </c>
      <c r="K16" s="3">
        <v>252521</v>
      </c>
      <c r="L16" s="9">
        <v>0</v>
      </c>
      <c r="M16" s="5">
        <v>252521</v>
      </c>
      <c r="Q16" s="8" t="s">
        <v>95</v>
      </c>
      <c r="R16" s="2">
        <v>423888</v>
      </c>
      <c r="S16" s="3">
        <v>423888</v>
      </c>
      <c r="T16" s="9">
        <v>0</v>
      </c>
      <c r="U16" s="5">
        <v>423888</v>
      </c>
      <c r="Y16" s="8" t="s">
        <v>95</v>
      </c>
      <c r="Z16" s="2">
        <v>569768</v>
      </c>
      <c r="AA16" s="3">
        <v>569768</v>
      </c>
      <c r="AB16" s="9">
        <v>0</v>
      </c>
      <c r="AC16" s="5">
        <v>569768</v>
      </c>
    </row>
    <row r="17" ht="15.5" customHeight="1" spans="1:29">
      <c r="A17" s="8" t="s">
        <v>90</v>
      </c>
      <c r="B17" s="2">
        <v>441006</v>
      </c>
      <c r="C17" s="3">
        <v>441006</v>
      </c>
      <c r="D17" s="9">
        <v>0</v>
      </c>
      <c r="E17" s="5">
        <v>441006</v>
      </c>
      <c r="I17" s="8" t="s">
        <v>110</v>
      </c>
      <c r="J17" s="2">
        <v>239440</v>
      </c>
      <c r="K17" s="3">
        <v>239440</v>
      </c>
      <c r="L17" s="9">
        <v>0</v>
      </c>
      <c r="M17" s="5">
        <v>239440</v>
      </c>
      <c r="Q17" s="8" t="s">
        <v>63</v>
      </c>
      <c r="R17" s="2">
        <v>423250</v>
      </c>
      <c r="S17" s="3">
        <v>423250</v>
      </c>
      <c r="T17" s="9">
        <v>0</v>
      </c>
      <c r="U17" s="5">
        <v>423250</v>
      </c>
      <c r="Y17" s="8" t="s">
        <v>110</v>
      </c>
      <c r="Z17" s="2">
        <v>518225</v>
      </c>
      <c r="AA17" s="3">
        <v>518225</v>
      </c>
      <c r="AB17" s="9">
        <v>0</v>
      </c>
      <c r="AC17" s="5">
        <v>518225</v>
      </c>
    </row>
    <row r="18" ht="15.5" customHeight="1" spans="1:29">
      <c r="A18" s="8" t="s">
        <v>95</v>
      </c>
      <c r="B18" s="2">
        <v>441001</v>
      </c>
      <c r="C18" s="3">
        <v>441001</v>
      </c>
      <c r="D18" s="9">
        <v>0</v>
      </c>
      <c r="E18" s="5">
        <v>441001</v>
      </c>
      <c r="I18" s="8" t="s">
        <v>105</v>
      </c>
      <c r="J18" s="2">
        <v>229828</v>
      </c>
      <c r="K18" s="3">
        <v>229828</v>
      </c>
      <c r="L18" s="9">
        <v>0</v>
      </c>
      <c r="M18" s="5">
        <v>229828</v>
      </c>
      <c r="Q18" s="8" t="s">
        <v>105</v>
      </c>
      <c r="R18" s="2">
        <v>300149</v>
      </c>
      <c r="S18" s="3">
        <v>300149</v>
      </c>
      <c r="T18" s="9">
        <v>0</v>
      </c>
      <c r="U18" s="5">
        <v>300149</v>
      </c>
      <c r="Y18" s="8" t="s">
        <v>139</v>
      </c>
      <c r="Z18" s="2">
        <v>492342</v>
      </c>
      <c r="AA18" s="3">
        <v>492342</v>
      </c>
      <c r="AB18" s="9">
        <v>0</v>
      </c>
      <c r="AC18" s="5">
        <v>492342</v>
      </c>
    </row>
    <row r="19" ht="15.5" customHeight="1" spans="1:29">
      <c r="A19" s="8" t="s">
        <v>100</v>
      </c>
      <c r="B19" s="2">
        <v>410732</v>
      </c>
      <c r="C19" s="3">
        <v>410732</v>
      </c>
      <c r="D19" s="9">
        <v>0</v>
      </c>
      <c r="E19" s="5">
        <v>410732</v>
      </c>
      <c r="I19" s="8" t="s">
        <v>90</v>
      </c>
      <c r="J19" s="2">
        <v>227128</v>
      </c>
      <c r="K19" s="3">
        <v>227128</v>
      </c>
      <c r="L19" s="9">
        <v>0</v>
      </c>
      <c r="M19" s="5">
        <v>227128</v>
      </c>
      <c r="Q19" s="8" t="s">
        <v>90</v>
      </c>
      <c r="R19" s="2">
        <v>300025</v>
      </c>
      <c r="S19" s="3">
        <v>300025</v>
      </c>
      <c r="T19" s="9">
        <v>0</v>
      </c>
      <c r="U19" s="5">
        <v>300025</v>
      </c>
      <c r="Y19" s="8" t="s">
        <v>117</v>
      </c>
      <c r="Z19" s="2">
        <v>340953</v>
      </c>
      <c r="AA19" s="3">
        <v>340953</v>
      </c>
      <c r="AB19" s="9">
        <v>0</v>
      </c>
      <c r="AC19" s="5">
        <v>340953</v>
      </c>
    </row>
    <row r="20" ht="15.5" customHeight="1" spans="1:29">
      <c r="A20" s="8" t="s">
        <v>105</v>
      </c>
      <c r="B20" s="2">
        <v>401419</v>
      </c>
      <c r="C20" s="3">
        <v>401419</v>
      </c>
      <c r="D20" s="9">
        <v>0</v>
      </c>
      <c r="E20" s="5">
        <v>401419</v>
      </c>
      <c r="I20" s="8" t="s">
        <v>85</v>
      </c>
      <c r="J20" s="2">
        <v>178038</v>
      </c>
      <c r="K20" s="3">
        <v>178038</v>
      </c>
      <c r="L20" s="9">
        <v>0</v>
      </c>
      <c r="M20" s="5">
        <v>178038</v>
      </c>
      <c r="Q20" s="8" t="s">
        <v>117</v>
      </c>
      <c r="R20" s="2">
        <v>274417</v>
      </c>
      <c r="S20" s="3">
        <v>274417</v>
      </c>
      <c r="T20" s="9">
        <v>0</v>
      </c>
      <c r="U20" s="5">
        <v>274417</v>
      </c>
      <c r="Y20" s="8" t="s">
        <v>90</v>
      </c>
      <c r="Z20" s="2">
        <v>302560</v>
      </c>
      <c r="AA20" s="3">
        <v>302560</v>
      </c>
      <c r="AB20" s="9">
        <v>0</v>
      </c>
      <c r="AC20" s="5">
        <v>302560</v>
      </c>
    </row>
    <row r="21" ht="15.5" customHeight="1" spans="1:29">
      <c r="A21" s="8" t="s">
        <v>110</v>
      </c>
      <c r="B21" s="2">
        <v>395683</v>
      </c>
      <c r="C21" s="3">
        <v>395683</v>
      </c>
      <c r="D21" s="9">
        <v>0</v>
      </c>
      <c r="E21" s="5">
        <v>395683</v>
      </c>
      <c r="I21" s="8" t="s">
        <v>117</v>
      </c>
      <c r="J21" s="2">
        <v>148564</v>
      </c>
      <c r="K21" s="3">
        <v>148564</v>
      </c>
      <c r="L21" s="9">
        <v>0</v>
      </c>
      <c r="M21" s="5">
        <v>148564</v>
      </c>
      <c r="Q21" s="8" t="s">
        <v>129</v>
      </c>
      <c r="R21" s="2">
        <v>271052</v>
      </c>
      <c r="S21" s="3">
        <v>271052</v>
      </c>
      <c r="T21" s="9">
        <v>0</v>
      </c>
      <c r="U21" s="5">
        <v>271052</v>
      </c>
      <c r="Y21" s="8" t="s">
        <v>134</v>
      </c>
      <c r="Z21" s="2">
        <v>276212</v>
      </c>
      <c r="AA21" s="3">
        <v>276212</v>
      </c>
      <c r="AB21" s="9">
        <v>0</v>
      </c>
      <c r="AC21" s="5">
        <v>276212</v>
      </c>
    </row>
    <row r="22" ht="15.5" customHeight="1" spans="1:29">
      <c r="A22" s="8" t="s">
        <v>115</v>
      </c>
      <c r="B22" s="2">
        <v>313918</v>
      </c>
      <c r="C22" s="3">
        <v>313918</v>
      </c>
      <c r="D22" s="9">
        <v>0</v>
      </c>
      <c r="E22" s="5">
        <v>313918</v>
      </c>
      <c r="I22" s="8" t="s">
        <v>124</v>
      </c>
      <c r="J22" s="2">
        <v>139739</v>
      </c>
      <c r="K22" s="3">
        <v>139739</v>
      </c>
      <c r="L22" s="9">
        <v>0</v>
      </c>
      <c r="M22" s="5">
        <v>139739</v>
      </c>
      <c r="Q22" s="8" t="s">
        <v>85</v>
      </c>
      <c r="R22" s="2">
        <v>203933</v>
      </c>
      <c r="S22" s="3">
        <v>203933</v>
      </c>
      <c r="T22" s="9">
        <v>0</v>
      </c>
      <c r="U22" s="5">
        <v>203933</v>
      </c>
      <c r="Y22" s="8" t="s">
        <v>129</v>
      </c>
      <c r="Z22" s="2">
        <v>233454</v>
      </c>
      <c r="AA22" s="3">
        <v>233454</v>
      </c>
      <c r="AB22" s="9">
        <v>0</v>
      </c>
      <c r="AC22" s="5">
        <v>233454</v>
      </c>
    </row>
    <row r="23" ht="15.5" customHeight="1" spans="1:29">
      <c r="A23" s="8" t="s">
        <v>117</v>
      </c>
      <c r="B23" s="2">
        <v>296345</v>
      </c>
      <c r="C23" s="3">
        <v>296345</v>
      </c>
      <c r="D23" s="9">
        <v>0</v>
      </c>
      <c r="E23" s="5">
        <v>296345</v>
      </c>
      <c r="I23" s="8" t="s">
        <v>228</v>
      </c>
      <c r="J23" s="2">
        <v>139021</v>
      </c>
      <c r="K23" s="3">
        <v>139021</v>
      </c>
      <c r="L23" s="9">
        <v>0</v>
      </c>
      <c r="M23" s="5">
        <v>139021</v>
      </c>
      <c r="Q23" s="8" t="s">
        <v>139</v>
      </c>
      <c r="R23" s="2">
        <v>180010</v>
      </c>
      <c r="S23" s="3">
        <v>180010</v>
      </c>
      <c r="T23" s="9">
        <v>0</v>
      </c>
      <c r="U23" s="5">
        <v>180010</v>
      </c>
      <c r="Y23" s="8" t="s">
        <v>229</v>
      </c>
      <c r="Z23" s="2">
        <v>231754</v>
      </c>
      <c r="AA23" s="3">
        <v>231754</v>
      </c>
      <c r="AB23" s="9">
        <v>0</v>
      </c>
      <c r="AC23" s="5">
        <v>231754</v>
      </c>
    </row>
    <row r="24" ht="15.5" customHeight="1" spans="1:29">
      <c r="A24" s="8" t="s">
        <v>120</v>
      </c>
      <c r="B24" s="2">
        <v>277022</v>
      </c>
      <c r="C24" s="3">
        <v>277022</v>
      </c>
      <c r="D24" s="9">
        <v>0</v>
      </c>
      <c r="E24" s="5">
        <v>277022</v>
      </c>
      <c r="I24" s="8" t="s">
        <v>58</v>
      </c>
      <c r="J24" s="2">
        <v>127082</v>
      </c>
      <c r="K24" s="3">
        <v>127082</v>
      </c>
      <c r="L24" s="9">
        <v>0</v>
      </c>
      <c r="M24" s="5">
        <v>127082</v>
      </c>
      <c r="Q24" s="8" t="s">
        <v>134</v>
      </c>
      <c r="R24" s="2">
        <v>174121</v>
      </c>
      <c r="S24" s="3">
        <v>174121</v>
      </c>
      <c r="T24" s="9">
        <v>0</v>
      </c>
      <c r="U24" s="5">
        <v>174121</v>
      </c>
      <c r="Y24" s="8" t="s">
        <v>58</v>
      </c>
      <c r="Z24" s="2">
        <v>189967</v>
      </c>
      <c r="AA24" s="3">
        <v>189967</v>
      </c>
      <c r="AB24" s="9">
        <v>0</v>
      </c>
      <c r="AC24" s="5">
        <v>189967</v>
      </c>
    </row>
    <row r="25" ht="15.5" customHeight="1" spans="1:29">
      <c r="A25" s="8" t="s">
        <v>124</v>
      </c>
      <c r="B25" s="2">
        <v>250251</v>
      </c>
      <c r="C25" s="3">
        <v>250251</v>
      </c>
      <c r="D25" s="9">
        <v>0</v>
      </c>
      <c r="E25" s="5">
        <v>250251</v>
      </c>
      <c r="I25" s="8" t="s">
        <v>129</v>
      </c>
      <c r="J25" s="2">
        <v>103025</v>
      </c>
      <c r="K25" s="3">
        <v>103025</v>
      </c>
      <c r="L25" s="9">
        <v>0</v>
      </c>
      <c r="M25" s="5">
        <v>103025</v>
      </c>
      <c r="Q25" s="8" t="s">
        <v>58</v>
      </c>
      <c r="R25" s="2">
        <v>172309</v>
      </c>
      <c r="S25" s="3">
        <v>172309</v>
      </c>
      <c r="T25" s="9">
        <v>0</v>
      </c>
      <c r="U25" s="5">
        <v>172309</v>
      </c>
      <c r="Y25" s="8" t="s">
        <v>85</v>
      </c>
      <c r="Z25" s="2">
        <v>174519</v>
      </c>
      <c r="AA25" s="3">
        <v>174519</v>
      </c>
      <c r="AB25" s="9">
        <v>0</v>
      </c>
      <c r="AC25" s="5">
        <v>174519</v>
      </c>
    </row>
    <row r="26" ht="15.5" customHeight="1" spans="1:29">
      <c r="A26" s="8" t="s">
        <v>129</v>
      </c>
      <c r="B26" s="2">
        <v>169468</v>
      </c>
      <c r="C26" s="3">
        <v>169468</v>
      </c>
      <c r="D26" s="9">
        <v>0</v>
      </c>
      <c r="E26" s="5">
        <v>169468</v>
      </c>
      <c r="I26" s="8" t="s">
        <v>144</v>
      </c>
      <c r="J26" s="2">
        <v>102393</v>
      </c>
      <c r="K26" s="3">
        <v>102393</v>
      </c>
      <c r="L26" s="9">
        <v>0</v>
      </c>
      <c r="M26" s="5">
        <v>102393</v>
      </c>
      <c r="Q26" s="8" t="s">
        <v>124</v>
      </c>
      <c r="R26" s="2">
        <v>132201</v>
      </c>
      <c r="S26" s="3">
        <v>132201</v>
      </c>
      <c r="T26" s="9">
        <v>0</v>
      </c>
      <c r="U26" s="5">
        <v>132201</v>
      </c>
      <c r="Y26" s="8" t="s">
        <v>105</v>
      </c>
      <c r="Z26" s="2">
        <v>150906</v>
      </c>
      <c r="AA26" s="3">
        <v>150906</v>
      </c>
      <c r="AB26" s="9">
        <v>0</v>
      </c>
      <c r="AC26" s="5">
        <v>150906</v>
      </c>
    </row>
    <row r="27" ht="15.5" customHeight="1" spans="1:29">
      <c r="A27" s="8" t="s">
        <v>134</v>
      </c>
      <c r="B27" s="2">
        <v>148760</v>
      </c>
      <c r="C27" s="3">
        <v>148760</v>
      </c>
      <c r="D27" s="9">
        <v>0</v>
      </c>
      <c r="E27" s="5">
        <v>148760</v>
      </c>
      <c r="I27" s="8" t="s">
        <v>115</v>
      </c>
      <c r="J27" s="2">
        <v>71988</v>
      </c>
      <c r="K27" s="3">
        <v>71988</v>
      </c>
      <c r="L27" s="9">
        <v>0</v>
      </c>
      <c r="M27" s="5">
        <v>71988</v>
      </c>
      <c r="Q27" s="8" t="s">
        <v>144</v>
      </c>
      <c r="R27" s="2">
        <v>127864</v>
      </c>
      <c r="S27" s="3">
        <v>127864</v>
      </c>
      <c r="T27" s="9">
        <v>0</v>
      </c>
      <c r="U27" s="5">
        <v>127864</v>
      </c>
      <c r="Y27" s="8" t="s">
        <v>124</v>
      </c>
      <c r="Z27" s="2">
        <v>109312</v>
      </c>
      <c r="AA27" s="3">
        <v>109312</v>
      </c>
      <c r="AB27" s="9">
        <v>0</v>
      </c>
      <c r="AC27" s="5">
        <v>109312</v>
      </c>
    </row>
    <row r="28" ht="15.5" customHeight="1" spans="1:29">
      <c r="A28" s="8" t="s">
        <v>139</v>
      </c>
      <c r="B28" s="2">
        <v>139152</v>
      </c>
      <c r="C28" s="3">
        <v>139152</v>
      </c>
      <c r="D28" s="9">
        <v>0</v>
      </c>
      <c r="E28" s="5">
        <v>139152</v>
      </c>
      <c r="I28" s="8" t="s">
        <v>139</v>
      </c>
      <c r="J28" s="2">
        <v>53300</v>
      </c>
      <c r="K28" s="3">
        <v>53300</v>
      </c>
      <c r="L28" s="9">
        <v>0</v>
      </c>
      <c r="M28" s="5">
        <v>53300</v>
      </c>
      <c r="Q28" s="8" t="s">
        <v>115</v>
      </c>
      <c r="R28" s="2">
        <v>121457</v>
      </c>
      <c r="S28" s="3">
        <v>121457</v>
      </c>
      <c r="T28" s="9">
        <v>0</v>
      </c>
      <c r="U28" s="5">
        <v>121457</v>
      </c>
      <c r="Y28" s="8" t="s">
        <v>144</v>
      </c>
      <c r="Z28" s="2">
        <v>92169</v>
      </c>
      <c r="AA28" s="3">
        <v>92169</v>
      </c>
      <c r="AB28" s="9">
        <v>0</v>
      </c>
      <c r="AC28" s="5">
        <v>92169</v>
      </c>
    </row>
    <row r="29" ht="15.5" customHeight="1" spans="1:29">
      <c r="A29" s="8" t="s">
        <v>144</v>
      </c>
      <c r="B29" s="2">
        <v>128061</v>
      </c>
      <c r="C29" s="3">
        <v>128061</v>
      </c>
      <c r="D29" s="9">
        <v>0</v>
      </c>
      <c r="E29" s="5">
        <v>128061</v>
      </c>
      <c r="I29" s="8" t="s">
        <v>134</v>
      </c>
      <c r="J29" s="2">
        <v>53056</v>
      </c>
      <c r="K29" s="3">
        <v>53056</v>
      </c>
      <c r="L29" s="9">
        <v>0</v>
      </c>
      <c r="M29" s="5">
        <v>53056</v>
      </c>
      <c r="Q29" s="8" t="s">
        <v>120</v>
      </c>
      <c r="R29" s="2">
        <v>93537</v>
      </c>
      <c r="S29" s="3">
        <v>93537</v>
      </c>
      <c r="T29" s="9">
        <v>0</v>
      </c>
      <c r="U29" s="5">
        <v>93537</v>
      </c>
      <c r="Y29" s="8" t="s">
        <v>115</v>
      </c>
      <c r="Z29" s="2">
        <v>79879</v>
      </c>
      <c r="AA29" s="3">
        <v>79879</v>
      </c>
      <c r="AB29" s="9">
        <v>0</v>
      </c>
      <c r="AC29" s="5">
        <v>79879</v>
      </c>
    </row>
    <row r="30" ht="15.5" customHeight="1" spans="1:29">
      <c r="A30" s="8" t="s">
        <v>149</v>
      </c>
      <c r="B30" s="2">
        <v>105323</v>
      </c>
      <c r="C30" s="3">
        <v>105323</v>
      </c>
      <c r="D30" s="9">
        <v>0</v>
      </c>
      <c r="E30" s="5">
        <v>105323</v>
      </c>
      <c r="I30" s="8" t="s">
        <v>154</v>
      </c>
      <c r="J30" s="2">
        <v>19554</v>
      </c>
      <c r="K30" s="3">
        <v>19554</v>
      </c>
      <c r="L30" s="9">
        <v>0</v>
      </c>
      <c r="M30" s="5">
        <v>19554</v>
      </c>
      <c r="Q30" s="8" t="s">
        <v>154</v>
      </c>
      <c r="R30" s="2">
        <v>25122</v>
      </c>
      <c r="S30" s="3">
        <v>25122</v>
      </c>
      <c r="T30" s="9">
        <v>0</v>
      </c>
      <c r="U30" s="5">
        <v>25122</v>
      </c>
      <c r="Y30" s="8" t="s">
        <v>154</v>
      </c>
      <c r="Z30" s="2">
        <v>17831</v>
      </c>
      <c r="AA30" s="3">
        <v>17831</v>
      </c>
      <c r="AB30" s="9">
        <v>0</v>
      </c>
      <c r="AC30" s="5">
        <v>17831</v>
      </c>
    </row>
    <row r="31" ht="77.5" customHeight="1" spans="1:29">
      <c r="A31" s="14" t="s">
        <v>154</v>
      </c>
      <c r="B31" s="15">
        <v>37257</v>
      </c>
      <c r="C31" s="16">
        <v>37257</v>
      </c>
      <c r="D31" s="14">
        <v>0</v>
      </c>
      <c r="E31" s="17">
        <v>37257</v>
      </c>
      <c r="I31" s="9" t="s">
        <v>149</v>
      </c>
      <c r="J31" s="2">
        <v>6440</v>
      </c>
      <c r="K31" s="3">
        <v>6440</v>
      </c>
      <c r="L31" s="9">
        <v>0</v>
      </c>
      <c r="M31" s="5">
        <v>6440</v>
      </c>
      <c r="Q31" s="8" t="s">
        <v>230</v>
      </c>
      <c r="R31" s="2">
        <v>9889713</v>
      </c>
      <c r="S31" s="3" t="s">
        <v>231</v>
      </c>
      <c r="T31" s="9">
        <v>0</v>
      </c>
      <c r="U31" s="5" t="s">
        <v>232</v>
      </c>
      <c r="Y31" s="8" t="s">
        <v>230</v>
      </c>
      <c r="Z31" s="2">
        <v>14507232</v>
      </c>
      <c r="AA31" s="3" t="s">
        <v>233</v>
      </c>
      <c r="AB31" s="9">
        <v>0</v>
      </c>
      <c r="AC31" s="5" t="s">
        <v>234</v>
      </c>
    </row>
    <row r="32" ht="31" spans="1:13">
      <c r="A32" s="14" t="s">
        <v>230</v>
      </c>
      <c r="B32" s="15">
        <v>15315000</v>
      </c>
      <c r="C32" s="16" t="s">
        <v>235</v>
      </c>
      <c r="D32" s="14">
        <v>0</v>
      </c>
      <c r="E32" s="17" t="s">
        <v>236</v>
      </c>
      <c r="I32" s="9" t="s">
        <v>230</v>
      </c>
      <c r="J32" s="2">
        <v>13136600</v>
      </c>
      <c r="K32" s="3" t="s">
        <v>237</v>
      </c>
      <c r="L32" s="9">
        <v>0</v>
      </c>
      <c r="M32" s="5" t="s">
        <v>238</v>
      </c>
    </row>
  </sheetData>
  <mergeCells count="8">
    <mergeCell ref="F1:H1"/>
    <mergeCell ref="N1:P1"/>
    <mergeCell ref="V1:X1"/>
    <mergeCell ref="AD1:AF1"/>
    <mergeCell ref="F2:H2"/>
    <mergeCell ref="N2:P2"/>
    <mergeCell ref="V2:X2"/>
    <mergeCell ref="AD2:AF2"/>
  </mergeCells>
  <pageMargins left="0.75" right="0.75" top="1" bottom="1" header="0.5" footer="0.5"/>
  <pageSetup paperSize="1"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29"/>
  <sheetViews>
    <sheetView zoomScale="39" zoomScaleNormal="39" topLeftCell="Q1" workbookViewId="0">
      <selection activeCell="AG1" sqref="AG1:AH3"/>
    </sheetView>
  </sheetViews>
  <sheetFormatPr defaultColWidth="9" defaultRowHeight="14.5"/>
  <cols>
    <col min="1" max="1" width="35.5454545454545" customWidth="1"/>
    <col min="2" max="2" width="10.5454545454545" customWidth="1"/>
    <col min="3" max="3" width="15.5454545454545" customWidth="1"/>
    <col min="4" max="4" width="12" customWidth="1"/>
    <col min="5" max="5" width="26.3636363636364" customWidth="1"/>
    <col min="6" max="7" width="16.1818181818182" customWidth="1"/>
    <col min="8" max="8" width="19.5454545454545" customWidth="1"/>
    <col min="9" max="9" width="34.0909090909091" customWidth="1"/>
    <col min="10" max="10" width="11.2727272727273" customWidth="1"/>
    <col min="11" max="11" width="18" customWidth="1"/>
    <col min="12" max="12" width="12" customWidth="1"/>
    <col min="13" max="13" width="26.3636363636364" customWidth="1"/>
    <col min="14" max="16" width="9" customWidth="1"/>
    <col min="17" max="17" width="48.0909090909091" customWidth="1"/>
    <col min="18" max="18" width="11.2727272727273" customWidth="1"/>
    <col min="19" max="19" width="18.2727272727273" customWidth="1"/>
    <col min="20" max="20" width="9" customWidth="1"/>
    <col min="21" max="21" width="18.0909090909091" customWidth="1"/>
    <col min="22" max="22" width="9" customWidth="1"/>
  </cols>
  <sheetData>
    <row r="1" ht="31.75" customHeight="1" spans="1:34">
      <c r="A1" s="1" t="s">
        <v>15</v>
      </c>
      <c r="B1" s="2" t="s">
        <v>22</v>
      </c>
      <c r="C1" s="3" t="s">
        <v>215</v>
      </c>
      <c r="D1" s="4" t="s">
        <v>216</v>
      </c>
      <c r="E1" s="5" t="s">
        <v>217</v>
      </c>
      <c r="F1" s="6" t="s">
        <v>218</v>
      </c>
      <c r="G1" s="6"/>
      <c r="H1" s="7"/>
      <c r="I1" s="1" t="s">
        <v>15</v>
      </c>
      <c r="J1" s="2" t="s">
        <v>22</v>
      </c>
      <c r="K1" s="3" t="s">
        <v>215</v>
      </c>
      <c r="L1" s="4" t="s">
        <v>216</v>
      </c>
      <c r="M1" s="5" t="s">
        <v>217</v>
      </c>
      <c r="N1" s="6" t="s">
        <v>219</v>
      </c>
      <c r="O1" s="6"/>
      <c r="P1" s="7"/>
      <c r="Q1" s="1" t="s">
        <v>15</v>
      </c>
      <c r="R1" s="2" t="s">
        <v>22</v>
      </c>
      <c r="S1" s="3" t="s">
        <v>215</v>
      </c>
      <c r="T1" s="4" t="s">
        <v>216</v>
      </c>
      <c r="U1" s="5" t="s">
        <v>217</v>
      </c>
      <c r="V1" s="6" t="s">
        <v>220</v>
      </c>
      <c r="W1" s="6"/>
      <c r="X1" s="7"/>
      <c r="Y1" s="1" t="s">
        <v>15</v>
      </c>
      <c r="Z1" s="2" t="s">
        <v>22</v>
      </c>
      <c r="AA1" s="3" t="s">
        <v>215</v>
      </c>
      <c r="AB1" s="4" t="s">
        <v>216</v>
      </c>
      <c r="AC1" s="5" t="s">
        <v>217</v>
      </c>
      <c r="AD1" s="6" t="s">
        <v>221</v>
      </c>
      <c r="AE1" s="6"/>
      <c r="AF1" s="7"/>
      <c r="AG1" s="18" t="s">
        <v>18</v>
      </c>
      <c r="AH1" s="18" t="s">
        <v>222</v>
      </c>
    </row>
    <row r="2" ht="44" customHeight="1" spans="1:34">
      <c r="A2" s="8" t="s">
        <v>23</v>
      </c>
      <c r="B2" s="2">
        <v>14378</v>
      </c>
      <c r="C2" s="3">
        <v>14378</v>
      </c>
      <c r="D2" s="9">
        <v>0</v>
      </c>
      <c r="E2" s="5">
        <v>14378</v>
      </c>
      <c r="F2" s="10" t="s">
        <v>239</v>
      </c>
      <c r="G2" s="10"/>
      <c r="H2" s="11"/>
      <c r="I2" s="8" t="s">
        <v>30</v>
      </c>
      <c r="J2" s="2">
        <v>783792</v>
      </c>
      <c r="K2" s="3">
        <v>783792</v>
      </c>
      <c r="L2" s="9">
        <v>0</v>
      </c>
      <c r="M2" s="5">
        <v>783792</v>
      </c>
      <c r="N2" s="10" t="s">
        <v>240</v>
      </c>
      <c r="O2" s="10"/>
      <c r="P2" s="11"/>
      <c r="Q2" s="8" t="s">
        <v>45</v>
      </c>
      <c r="R2" s="2">
        <v>475943</v>
      </c>
      <c r="S2" s="3">
        <v>475943</v>
      </c>
      <c r="T2" s="9">
        <v>0</v>
      </c>
      <c r="U2" s="5">
        <v>475943</v>
      </c>
      <c r="V2" s="10" t="s">
        <v>241</v>
      </c>
      <c r="W2" s="10"/>
      <c r="X2" s="11"/>
      <c r="Y2" s="8" t="s">
        <v>23</v>
      </c>
      <c r="Z2" s="2">
        <v>454780</v>
      </c>
      <c r="AA2" s="3">
        <v>454780</v>
      </c>
      <c r="AB2" s="9">
        <v>0</v>
      </c>
      <c r="AC2" s="5">
        <v>454780</v>
      </c>
      <c r="AG2" s="19" t="s">
        <v>226</v>
      </c>
      <c r="AH2" s="19">
        <v>0</v>
      </c>
    </row>
    <row r="3" ht="44" customHeight="1" spans="1:34">
      <c r="A3" s="8" t="s">
        <v>50</v>
      </c>
      <c r="B3" s="2">
        <v>9043</v>
      </c>
      <c r="C3" s="3">
        <v>9043</v>
      </c>
      <c r="D3" s="9">
        <v>0</v>
      </c>
      <c r="E3" s="5">
        <v>9043</v>
      </c>
      <c r="I3" s="8" t="s">
        <v>50</v>
      </c>
      <c r="J3" s="2">
        <v>563892</v>
      </c>
      <c r="K3" s="3">
        <v>563892</v>
      </c>
      <c r="L3" s="9">
        <v>0</v>
      </c>
      <c r="M3" s="5">
        <v>563892</v>
      </c>
      <c r="Q3" s="8" t="s">
        <v>50</v>
      </c>
      <c r="R3" s="2">
        <v>373844</v>
      </c>
      <c r="S3" s="3">
        <v>373844</v>
      </c>
      <c r="T3" s="9">
        <v>0</v>
      </c>
      <c r="U3" s="5">
        <v>373844</v>
      </c>
      <c r="Y3" s="8" t="s">
        <v>35</v>
      </c>
      <c r="Z3" s="2">
        <v>43149</v>
      </c>
      <c r="AA3" s="3">
        <v>43149</v>
      </c>
      <c r="AB3" s="9">
        <v>0</v>
      </c>
      <c r="AC3" s="5">
        <v>43149</v>
      </c>
      <c r="AG3" t="s">
        <v>26</v>
      </c>
      <c r="AH3" s="20">
        <v>26</v>
      </c>
    </row>
    <row r="4" ht="31.75" customHeight="1" spans="1:29">
      <c r="A4" s="8" t="s">
        <v>40</v>
      </c>
      <c r="B4" s="2">
        <v>8863</v>
      </c>
      <c r="C4" s="3">
        <v>8863</v>
      </c>
      <c r="D4" s="9">
        <v>0</v>
      </c>
      <c r="E4" s="5">
        <v>8863</v>
      </c>
      <c r="I4" s="8" t="s">
        <v>73</v>
      </c>
      <c r="J4" s="2">
        <v>536741</v>
      </c>
      <c r="K4" s="3">
        <v>536741</v>
      </c>
      <c r="L4" s="9">
        <v>0</v>
      </c>
      <c r="M4" s="5">
        <v>536741</v>
      </c>
      <c r="Q4" s="8" t="s">
        <v>23</v>
      </c>
      <c r="R4" s="2">
        <v>329829</v>
      </c>
      <c r="S4" s="3">
        <v>329829</v>
      </c>
      <c r="T4" s="9">
        <v>0</v>
      </c>
      <c r="U4" s="5">
        <v>329829</v>
      </c>
      <c r="Y4" s="8" t="s">
        <v>47</v>
      </c>
      <c r="Z4" s="2">
        <v>38489</v>
      </c>
      <c r="AA4" s="3">
        <v>38489</v>
      </c>
      <c r="AB4" s="9">
        <v>0</v>
      </c>
      <c r="AC4" s="5">
        <v>38489</v>
      </c>
    </row>
    <row r="5" ht="15.5" customHeight="1" spans="1:29">
      <c r="A5" s="8" t="s">
        <v>45</v>
      </c>
      <c r="B5" s="2">
        <v>8515</v>
      </c>
      <c r="C5" s="3">
        <v>8515</v>
      </c>
      <c r="D5" s="9">
        <v>0</v>
      </c>
      <c r="E5" s="5">
        <v>8515</v>
      </c>
      <c r="I5" s="8" t="s">
        <v>23</v>
      </c>
      <c r="J5" s="2">
        <v>482329</v>
      </c>
      <c r="K5" s="3">
        <v>482329</v>
      </c>
      <c r="L5" s="9">
        <v>0</v>
      </c>
      <c r="M5" s="5">
        <v>482329</v>
      </c>
      <c r="Q5" s="8" t="s">
        <v>76</v>
      </c>
      <c r="R5" s="2">
        <v>277442</v>
      </c>
      <c r="S5" s="3">
        <v>277442</v>
      </c>
      <c r="T5" s="9">
        <v>0</v>
      </c>
      <c r="U5" s="5">
        <v>277442</v>
      </c>
      <c r="Y5" s="8" t="s">
        <v>40</v>
      </c>
      <c r="Z5" s="2">
        <v>27865</v>
      </c>
      <c r="AA5" s="3">
        <v>27865</v>
      </c>
      <c r="AB5" s="9">
        <v>0</v>
      </c>
      <c r="AC5" s="5">
        <v>27865</v>
      </c>
    </row>
    <row r="6" ht="40.25" customHeight="1" spans="1:29">
      <c r="A6" s="8" t="s">
        <v>30</v>
      </c>
      <c r="B6" s="2">
        <v>8486</v>
      </c>
      <c r="C6" s="3">
        <v>8486</v>
      </c>
      <c r="D6" s="9">
        <v>0</v>
      </c>
      <c r="E6" s="5">
        <v>8486</v>
      </c>
      <c r="I6" s="8" t="s">
        <v>55</v>
      </c>
      <c r="J6" s="2">
        <v>464384</v>
      </c>
      <c r="K6" s="3">
        <v>464384</v>
      </c>
      <c r="L6" s="9">
        <v>0</v>
      </c>
      <c r="M6" s="5">
        <v>464384</v>
      </c>
      <c r="Q6" s="8" t="s">
        <v>30</v>
      </c>
      <c r="R6" s="2">
        <v>264748</v>
      </c>
      <c r="S6" s="3">
        <v>264748</v>
      </c>
      <c r="T6" s="9">
        <v>0</v>
      </c>
      <c r="U6" s="5">
        <v>264748</v>
      </c>
      <c r="Y6" s="8" t="s">
        <v>30</v>
      </c>
      <c r="Z6" s="2">
        <v>27407</v>
      </c>
      <c r="AA6" s="3">
        <v>27407</v>
      </c>
      <c r="AB6" s="9">
        <v>0</v>
      </c>
      <c r="AC6" s="5">
        <v>27407</v>
      </c>
    </row>
    <row r="7" ht="31.75" customHeight="1" spans="1:29">
      <c r="A7" s="8" t="s">
        <v>63</v>
      </c>
      <c r="B7" s="2">
        <v>8459</v>
      </c>
      <c r="C7" s="3">
        <v>8459</v>
      </c>
      <c r="D7" s="9">
        <v>0</v>
      </c>
      <c r="E7" s="5">
        <v>8459</v>
      </c>
      <c r="I7" s="8" t="s">
        <v>45</v>
      </c>
      <c r="J7" s="2">
        <v>390578</v>
      </c>
      <c r="K7" s="3">
        <v>390578</v>
      </c>
      <c r="L7" s="9">
        <v>0</v>
      </c>
      <c r="M7" s="5">
        <v>390578</v>
      </c>
      <c r="Q7" s="8" t="s">
        <v>63</v>
      </c>
      <c r="R7" s="2">
        <v>233485</v>
      </c>
      <c r="S7" s="3">
        <v>233485</v>
      </c>
      <c r="T7" s="9">
        <v>0</v>
      </c>
      <c r="U7" s="5">
        <v>233485</v>
      </c>
      <c r="Y7" s="8" t="s">
        <v>45</v>
      </c>
      <c r="Z7" s="2">
        <v>24453</v>
      </c>
      <c r="AA7" s="3">
        <v>24453</v>
      </c>
      <c r="AB7" s="9">
        <v>0</v>
      </c>
      <c r="AC7" s="5">
        <v>24453</v>
      </c>
    </row>
    <row r="8" ht="28.75" customHeight="1" spans="1:29">
      <c r="A8" s="8" t="s">
        <v>47</v>
      </c>
      <c r="B8" s="2">
        <v>8322</v>
      </c>
      <c r="C8" s="3">
        <v>8322</v>
      </c>
      <c r="D8" s="9">
        <v>0</v>
      </c>
      <c r="E8" s="5">
        <v>8322</v>
      </c>
      <c r="F8" s="12"/>
      <c r="I8" s="8" t="s">
        <v>35</v>
      </c>
      <c r="J8" s="2">
        <v>234289</v>
      </c>
      <c r="K8" s="3">
        <v>234289</v>
      </c>
      <c r="L8" s="9">
        <v>0</v>
      </c>
      <c r="M8" s="5">
        <v>234289</v>
      </c>
      <c r="N8" s="12"/>
      <c r="Q8" s="8" t="s">
        <v>35</v>
      </c>
      <c r="R8" s="2">
        <v>122322</v>
      </c>
      <c r="S8" s="3">
        <v>122322</v>
      </c>
      <c r="T8" s="9">
        <v>0</v>
      </c>
      <c r="U8" s="5">
        <v>122322</v>
      </c>
      <c r="Y8" s="8" t="s">
        <v>50</v>
      </c>
      <c r="Z8" s="2">
        <v>23761</v>
      </c>
      <c r="AA8" s="3">
        <v>23761</v>
      </c>
      <c r="AB8" s="9">
        <v>0</v>
      </c>
      <c r="AC8" s="5">
        <v>23761</v>
      </c>
    </row>
    <row r="9" ht="29.4" customHeight="1" spans="1:29">
      <c r="A9" s="8" t="s">
        <v>55</v>
      </c>
      <c r="B9" s="2">
        <v>6904</v>
      </c>
      <c r="C9" s="3">
        <v>6904</v>
      </c>
      <c r="D9" s="9">
        <v>0</v>
      </c>
      <c r="E9" s="5">
        <v>6904</v>
      </c>
      <c r="F9" s="13"/>
      <c r="I9" s="8" t="s">
        <v>40</v>
      </c>
      <c r="J9" s="2">
        <v>3824</v>
      </c>
      <c r="K9" s="3">
        <v>3824</v>
      </c>
      <c r="L9" s="9">
        <v>0</v>
      </c>
      <c r="M9" s="5">
        <v>3824</v>
      </c>
      <c r="Q9" s="8" t="s">
        <v>40</v>
      </c>
      <c r="R9" s="2">
        <v>4147</v>
      </c>
      <c r="S9" s="3">
        <v>4147</v>
      </c>
      <c r="T9" s="9">
        <v>0</v>
      </c>
      <c r="U9" s="5">
        <v>4147</v>
      </c>
      <c r="Y9" s="8" t="s">
        <v>81</v>
      </c>
      <c r="Z9" s="2">
        <v>22765</v>
      </c>
      <c r="AA9" s="3">
        <v>22765</v>
      </c>
      <c r="AB9" s="9">
        <v>0</v>
      </c>
      <c r="AC9" s="5">
        <v>22765</v>
      </c>
    </row>
    <row r="10" ht="15.5" customHeight="1" spans="1:29">
      <c r="A10" s="8" t="s">
        <v>35</v>
      </c>
      <c r="B10" s="2">
        <v>6802</v>
      </c>
      <c r="C10" s="3">
        <v>6802</v>
      </c>
      <c r="D10" s="9">
        <v>0</v>
      </c>
      <c r="E10" s="5">
        <v>6802</v>
      </c>
      <c r="I10" s="8" t="s">
        <v>115</v>
      </c>
      <c r="J10" s="2">
        <v>3519</v>
      </c>
      <c r="K10" s="3">
        <v>3519</v>
      </c>
      <c r="L10" s="9">
        <v>0</v>
      </c>
      <c r="M10" s="5">
        <v>3519</v>
      </c>
      <c r="Q10" s="8" t="s">
        <v>115</v>
      </c>
      <c r="R10" s="2">
        <v>3519</v>
      </c>
      <c r="S10" s="3">
        <v>3519</v>
      </c>
      <c r="T10" s="9">
        <v>0</v>
      </c>
      <c r="U10" s="5">
        <v>3519</v>
      </c>
      <c r="Y10" s="8" t="s">
        <v>55</v>
      </c>
      <c r="Z10" s="2">
        <v>22221</v>
      </c>
      <c r="AA10" s="3">
        <v>22221</v>
      </c>
      <c r="AB10" s="9">
        <v>0</v>
      </c>
      <c r="AC10" s="5">
        <v>22221</v>
      </c>
    </row>
    <row r="11" ht="15.5" customHeight="1" spans="1:29">
      <c r="A11" s="8" t="s">
        <v>76</v>
      </c>
      <c r="B11" s="2">
        <v>6204</v>
      </c>
      <c r="C11" s="3">
        <v>6204</v>
      </c>
      <c r="D11" s="9">
        <v>0</v>
      </c>
      <c r="E11" s="5">
        <v>6204</v>
      </c>
      <c r="I11" s="8" t="s">
        <v>63</v>
      </c>
      <c r="J11" s="2">
        <v>3060</v>
      </c>
      <c r="K11" s="3">
        <v>3060</v>
      </c>
      <c r="L11" s="9">
        <v>0</v>
      </c>
      <c r="M11" s="5">
        <v>3060</v>
      </c>
      <c r="Q11" s="8" t="s">
        <v>73</v>
      </c>
      <c r="R11" s="2">
        <v>3415</v>
      </c>
      <c r="S11" s="3">
        <v>3415</v>
      </c>
      <c r="T11" s="9">
        <v>0</v>
      </c>
      <c r="U11" s="5">
        <v>3415</v>
      </c>
      <c r="Y11" s="8" t="s">
        <v>139</v>
      </c>
      <c r="Z11" s="2">
        <v>22089</v>
      </c>
      <c r="AA11" s="3">
        <v>22089</v>
      </c>
      <c r="AB11" s="9">
        <v>0</v>
      </c>
      <c r="AC11" s="5">
        <v>22089</v>
      </c>
    </row>
    <row r="12" ht="15.5" customHeight="1" spans="1:29">
      <c r="A12" s="8" t="s">
        <v>81</v>
      </c>
      <c r="B12" s="2">
        <v>6102</v>
      </c>
      <c r="C12" s="3">
        <v>6102</v>
      </c>
      <c r="D12" s="9">
        <v>0</v>
      </c>
      <c r="E12" s="5">
        <v>6102</v>
      </c>
      <c r="I12" s="8" t="s">
        <v>85</v>
      </c>
      <c r="J12" s="2">
        <v>3015</v>
      </c>
      <c r="K12" s="3">
        <v>3015</v>
      </c>
      <c r="L12" s="9">
        <v>0</v>
      </c>
      <c r="M12" s="5">
        <v>3015</v>
      </c>
      <c r="Q12" s="8" t="s">
        <v>81</v>
      </c>
      <c r="R12" s="2">
        <v>3371</v>
      </c>
      <c r="S12" s="3">
        <v>3371</v>
      </c>
      <c r="T12" s="9">
        <v>0</v>
      </c>
      <c r="U12" s="5">
        <v>3371</v>
      </c>
      <c r="Y12" s="8" t="s">
        <v>73</v>
      </c>
      <c r="Z12" s="2">
        <v>21535</v>
      </c>
      <c r="AA12" s="3">
        <v>21535</v>
      </c>
      <c r="AB12" s="9">
        <v>0</v>
      </c>
      <c r="AC12" s="5">
        <v>21535</v>
      </c>
    </row>
    <row r="13" ht="15.5" customHeight="1" spans="1:29">
      <c r="A13" s="8" t="s">
        <v>95</v>
      </c>
      <c r="B13" s="2">
        <v>5362</v>
      </c>
      <c r="C13" s="3">
        <v>5362</v>
      </c>
      <c r="D13" s="9">
        <v>0</v>
      </c>
      <c r="E13" s="5">
        <v>5362</v>
      </c>
      <c r="I13" s="8" t="s">
        <v>47</v>
      </c>
      <c r="J13" s="2">
        <v>1698</v>
      </c>
      <c r="K13" s="3">
        <v>1698</v>
      </c>
      <c r="L13" s="9">
        <v>0</v>
      </c>
      <c r="M13" s="5">
        <v>1698</v>
      </c>
      <c r="Q13" s="8" t="s">
        <v>85</v>
      </c>
      <c r="R13" s="2">
        <v>3015</v>
      </c>
      <c r="S13" s="3">
        <v>3015</v>
      </c>
      <c r="T13" s="9">
        <v>0</v>
      </c>
      <c r="U13" s="5">
        <v>3015</v>
      </c>
      <c r="Y13" s="8" t="s">
        <v>63</v>
      </c>
      <c r="Z13" s="2">
        <v>21128</v>
      </c>
      <c r="AA13" s="3">
        <v>21128</v>
      </c>
      <c r="AB13" s="9">
        <v>0</v>
      </c>
      <c r="AC13" s="5">
        <v>21128</v>
      </c>
    </row>
    <row r="14" ht="15.5" customHeight="1" spans="1:29">
      <c r="A14" s="8" t="s">
        <v>73</v>
      </c>
      <c r="B14" s="2">
        <v>5251</v>
      </c>
      <c r="C14" s="3">
        <v>5251</v>
      </c>
      <c r="D14" s="9">
        <v>0</v>
      </c>
      <c r="E14" s="5">
        <v>5251</v>
      </c>
      <c r="I14" s="8" t="s">
        <v>68</v>
      </c>
      <c r="J14" s="2">
        <v>1373</v>
      </c>
      <c r="K14" s="3">
        <v>1373</v>
      </c>
      <c r="L14" s="9">
        <v>0</v>
      </c>
      <c r="M14" s="5">
        <v>1373</v>
      </c>
      <c r="Q14" s="8" t="s">
        <v>55</v>
      </c>
      <c r="R14" s="2">
        <v>2727</v>
      </c>
      <c r="S14" s="3">
        <v>2727</v>
      </c>
      <c r="T14" s="9">
        <v>0</v>
      </c>
      <c r="U14" s="5">
        <v>2727</v>
      </c>
      <c r="Y14" s="8" t="s">
        <v>76</v>
      </c>
      <c r="Z14" s="2">
        <v>18205</v>
      </c>
      <c r="AA14" s="3">
        <v>18205</v>
      </c>
      <c r="AB14" s="9">
        <v>0</v>
      </c>
      <c r="AC14" s="5">
        <v>18205</v>
      </c>
    </row>
    <row r="15" ht="15.5" customHeight="1" spans="1:29">
      <c r="A15" s="8" t="s">
        <v>134</v>
      </c>
      <c r="B15" s="2">
        <v>4242</v>
      </c>
      <c r="C15" s="3">
        <v>4242</v>
      </c>
      <c r="D15" s="9">
        <v>0</v>
      </c>
      <c r="E15" s="5">
        <v>4242</v>
      </c>
      <c r="I15" s="8" t="s">
        <v>90</v>
      </c>
      <c r="J15" s="2">
        <v>1146</v>
      </c>
      <c r="K15" s="3">
        <v>1146</v>
      </c>
      <c r="L15" s="9">
        <v>0</v>
      </c>
      <c r="M15" s="5">
        <v>1146</v>
      </c>
      <c r="Q15" s="8" t="s">
        <v>134</v>
      </c>
      <c r="R15" s="2">
        <v>2616</v>
      </c>
      <c r="S15" s="3">
        <v>2616</v>
      </c>
      <c r="T15" s="9">
        <v>0</v>
      </c>
      <c r="U15" s="5">
        <v>2616</v>
      </c>
      <c r="Y15" s="8" t="s">
        <v>95</v>
      </c>
      <c r="Z15" s="2">
        <v>17293</v>
      </c>
      <c r="AA15" s="3">
        <v>17293</v>
      </c>
      <c r="AB15" s="9">
        <v>0</v>
      </c>
      <c r="AC15" s="5">
        <v>17293</v>
      </c>
    </row>
    <row r="16" ht="15.5" customHeight="1" spans="1:29">
      <c r="A16" s="8" t="s">
        <v>117</v>
      </c>
      <c r="B16" s="2">
        <v>3092</v>
      </c>
      <c r="C16" s="3">
        <v>3092</v>
      </c>
      <c r="D16" s="9">
        <v>0</v>
      </c>
      <c r="E16" s="5">
        <v>3092</v>
      </c>
      <c r="I16" s="8" t="s">
        <v>81</v>
      </c>
      <c r="J16" s="2">
        <v>1029</v>
      </c>
      <c r="K16" s="3">
        <v>1029</v>
      </c>
      <c r="L16" s="9">
        <v>0</v>
      </c>
      <c r="M16" s="5">
        <v>1029</v>
      </c>
      <c r="Q16" s="8" t="s">
        <v>47</v>
      </c>
      <c r="R16" s="2">
        <v>1698</v>
      </c>
      <c r="S16" s="3">
        <v>1698</v>
      </c>
      <c r="T16" s="9">
        <v>0</v>
      </c>
      <c r="U16" s="5">
        <v>1698</v>
      </c>
      <c r="Y16" s="8" t="s">
        <v>134</v>
      </c>
      <c r="Z16" s="2">
        <v>16878</v>
      </c>
      <c r="AA16" s="3">
        <v>16878</v>
      </c>
      <c r="AB16" s="9">
        <v>0</v>
      </c>
      <c r="AC16" s="5">
        <v>16878</v>
      </c>
    </row>
    <row r="17" ht="15.5" customHeight="1" spans="1:29">
      <c r="A17" s="8" t="s">
        <v>90</v>
      </c>
      <c r="B17" s="2">
        <v>2944</v>
      </c>
      <c r="C17" s="3">
        <v>2944</v>
      </c>
      <c r="D17" s="9">
        <v>0</v>
      </c>
      <c r="E17" s="5">
        <v>2944</v>
      </c>
      <c r="I17" s="8" t="s">
        <v>76</v>
      </c>
      <c r="J17" s="2">
        <v>857</v>
      </c>
      <c r="K17" s="3">
        <v>857</v>
      </c>
      <c r="L17" s="9">
        <v>0</v>
      </c>
      <c r="M17" s="5">
        <v>857</v>
      </c>
      <c r="Q17" s="8" t="s">
        <v>68</v>
      </c>
      <c r="R17" s="2">
        <v>1373</v>
      </c>
      <c r="S17" s="3">
        <v>1373</v>
      </c>
      <c r="T17" s="9">
        <v>0</v>
      </c>
      <c r="U17" s="5">
        <v>1373</v>
      </c>
      <c r="Y17" s="8" t="s">
        <v>90</v>
      </c>
      <c r="Z17" s="2">
        <v>16487</v>
      </c>
      <c r="AA17" s="3">
        <v>16487</v>
      </c>
      <c r="AB17" s="9">
        <v>0</v>
      </c>
      <c r="AC17" s="5">
        <v>16487</v>
      </c>
    </row>
    <row r="18" ht="15.5" customHeight="1" spans="1:29">
      <c r="A18" s="8" t="s">
        <v>139</v>
      </c>
      <c r="B18" s="2">
        <v>2395</v>
      </c>
      <c r="C18" s="3">
        <v>2395</v>
      </c>
      <c r="D18" s="9">
        <v>0</v>
      </c>
      <c r="E18" s="5">
        <v>2395</v>
      </c>
      <c r="I18" s="8" t="s">
        <v>139</v>
      </c>
      <c r="J18" s="2">
        <v>274</v>
      </c>
      <c r="K18" s="3">
        <v>274</v>
      </c>
      <c r="L18" s="9">
        <v>0</v>
      </c>
      <c r="M18" s="5">
        <v>274</v>
      </c>
      <c r="Q18" s="8" t="s">
        <v>90</v>
      </c>
      <c r="R18" s="2">
        <v>841</v>
      </c>
      <c r="S18" s="3">
        <v>841</v>
      </c>
      <c r="T18" s="9">
        <v>0</v>
      </c>
      <c r="U18" s="5">
        <v>841</v>
      </c>
      <c r="Y18" s="8" t="s">
        <v>124</v>
      </c>
      <c r="Z18" s="2">
        <v>16035</v>
      </c>
      <c r="AA18" s="3">
        <v>16035</v>
      </c>
      <c r="AB18" s="9">
        <v>0</v>
      </c>
      <c r="AC18" s="5">
        <v>16035</v>
      </c>
    </row>
    <row r="19" ht="15.5" customHeight="1" spans="1:29">
      <c r="A19" s="8" t="s">
        <v>100</v>
      </c>
      <c r="B19" s="2">
        <v>2262</v>
      </c>
      <c r="C19" s="3">
        <v>2262</v>
      </c>
      <c r="D19" s="9">
        <v>0</v>
      </c>
      <c r="E19" s="5">
        <v>2262</v>
      </c>
      <c r="I19" s="8" t="s">
        <v>110</v>
      </c>
      <c r="J19" s="2">
        <v>111</v>
      </c>
      <c r="K19" s="3">
        <v>111</v>
      </c>
      <c r="L19" s="9">
        <v>0</v>
      </c>
      <c r="M19" s="5">
        <v>111</v>
      </c>
      <c r="Q19" s="8" t="s">
        <v>110</v>
      </c>
      <c r="R19" s="2">
        <v>111</v>
      </c>
      <c r="S19" s="3">
        <v>111</v>
      </c>
      <c r="T19" s="9">
        <v>0</v>
      </c>
      <c r="U19" s="5">
        <v>111</v>
      </c>
      <c r="Y19" s="8" t="s">
        <v>228</v>
      </c>
      <c r="Z19" s="2">
        <v>13746</v>
      </c>
      <c r="AA19" s="3">
        <v>13746</v>
      </c>
      <c r="AB19" s="9">
        <v>0</v>
      </c>
      <c r="AC19" s="5">
        <v>13746</v>
      </c>
    </row>
    <row r="20" ht="31" customHeight="1" spans="1:29">
      <c r="A20" s="8" t="s">
        <v>110</v>
      </c>
      <c r="B20" s="2">
        <v>1824</v>
      </c>
      <c r="C20" s="3">
        <v>1824</v>
      </c>
      <c r="D20" s="9">
        <v>0</v>
      </c>
      <c r="E20" s="5">
        <v>1824</v>
      </c>
      <c r="I20" s="8" t="s">
        <v>230</v>
      </c>
      <c r="J20" s="2">
        <v>3475911</v>
      </c>
      <c r="K20" s="3" t="s">
        <v>242</v>
      </c>
      <c r="L20" s="9">
        <v>0</v>
      </c>
      <c r="M20" s="5" t="s">
        <v>243</v>
      </c>
      <c r="Q20" s="8" t="s">
        <v>230</v>
      </c>
      <c r="R20" s="2">
        <v>2104446</v>
      </c>
      <c r="S20" s="3" t="s">
        <v>244</v>
      </c>
      <c r="T20" s="9">
        <v>0</v>
      </c>
      <c r="U20" s="5" t="s">
        <v>245</v>
      </c>
      <c r="Y20" s="8" t="s">
        <v>154</v>
      </c>
      <c r="Z20" s="2">
        <v>13331</v>
      </c>
      <c r="AA20" s="3">
        <v>13331</v>
      </c>
      <c r="AB20" s="9">
        <v>0</v>
      </c>
      <c r="AC20" s="5">
        <v>13331</v>
      </c>
    </row>
    <row r="21" ht="15.5" customHeight="1" spans="1:29">
      <c r="A21" s="8" t="s">
        <v>154</v>
      </c>
      <c r="B21" s="2">
        <v>1824</v>
      </c>
      <c r="C21" s="3">
        <v>1824</v>
      </c>
      <c r="D21" s="9">
        <v>0</v>
      </c>
      <c r="E21" s="5">
        <v>1824</v>
      </c>
      <c r="Y21" s="8" t="s">
        <v>105</v>
      </c>
      <c r="Z21" s="2">
        <v>11265</v>
      </c>
      <c r="AA21" s="3">
        <v>11265</v>
      </c>
      <c r="AB21" s="9">
        <v>0</v>
      </c>
      <c r="AC21" s="5">
        <v>11265</v>
      </c>
    </row>
    <row r="22" ht="15.5" customHeight="1" spans="1:29">
      <c r="A22" s="8" t="s">
        <v>115</v>
      </c>
      <c r="B22" s="2">
        <v>1714</v>
      </c>
      <c r="C22" s="3">
        <v>1714</v>
      </c>
      <c r="D22" s="9">
        <v>0</v>
      </c>
      <c r="E22" s="5">
        <v>1714</v>
      </c>
      <c r="Y22" s="8" t="s">
        <v>68</v>
      </c>
      <c r="Z22" s="2">
        <v>4932</v>
      </c>
      <c r="AA22" s="3">
        <v>4932</v>
      </c>
      <c r="AB22" s="9">
        <v>0</v>
      </c>
      <c r="AC22" s="5">
        <v>4932</v>
      </c>
    </row>
    <row r="23" ht="15.5" customHeight="1" spans="1:29">
      <c r="A23" s="8" t="s">
        <v>124</v>
      </c>
      <c r="B23" s="2">
        <v>1713</v>
      </c>
      <c r="C23" s="3">
        <v>1713</v>
      </c>
      <c r="D23" s="9">
        <v>0</v>
      </c>
      <c r="E23" s="5">
        <v>1713</v>
      </c>
      <c r="Y23" s="8" t="s">
        <v>85</v>
      </c>
      <c r="Z23" s="2">
        <v>4061</v>
      </c>
      <c r="AA23" s="3">
        <v>4061</v>
      </c>
      <c r="AB23" s="9">
        <v>0</v>
      </c>
      <c r="AC23" s="5">
        <v>4061</v>
      </c>
    </row>
    <row r="24" ht="15.5" customHeight="1" spans="1:29">
      <c r="A24" s="8" t="s">
        <v>105</v>
      </c>
      <c r="B24" s="2">
        <v>1708</v>
      </c>
      <c r="C24" s="3">
        <v>1708</v>
      </c>
      <c r="D24" s="9">
        <v>0</v>
      </c>
      <c r="E24" s="5">
        <v>1708</v>
      </c>
      <c r="Y24" s="8" t="s">
        <v>100</v>
      </c>
      <c r="Z24" s="2">
        <v>3918</v>
      </c>
      <c r="AA24" s="3">
        <v>3918</v>
      </c>
      <c r="AB24" s="9">
        <v>0</v>
      </c>
      <c r="AC24" s="5">
        <v>3918</v>
      </c>
    </row>
    <row r="25" ht="15.5" customHeight="1" spans="1:29">
      <c r="A25" s="8" t="s">
        <v>85</v>
      </c>
      <c r="B25" s="2">
        <v>936</v>
      </c>
      <c r="C25" s="3">
        <v>936</v>
      </c>
      <c r="D25" s="9">
        <v>0</v>
      </c>
      <c r="E25" s="5">
        <v>936</v>
      </c>
      <c r="Y25" s="8" t="s">
        <v>110</v>
      </c>
      <c r="Z25" s="2">
        <v>3180</v>
      </c>
      <c r="AA25" s="3">
        <v>3180</v>
      </c>
      <c r="AB25" s="9">
        <v>0</v>
      </c>
      <c r="AC25" s="5">
        <v>3180</v>
      </c>
    </row>
    <row r="26" ht="46.5" customHeight="1" spans="1:29">
      <c r="A26" s="8" t="s">
        <v>68</v>
      </c>
      <c r="B26" s="2">
        <v>335</v>
      </c>
      <c r="C26" s="3">
        <v>335</v>
      </c>
      <c r="D26" s="9">
        <v>0</v>
      </c>
      <c r="E26" s="5">
        <v>335</v>
      </c>
      <c r="Y26" s="8" t="s">
        <v>117</v>
      </c>
      <c r="Z26" s="2">
        <v>2582</v>
      </c>
      <c r="AA26" s="3">
        <v>2582</v>
      </c>
      <c r="AB26" s="9">
        <v>0</v>
      </c>
      <c r="AC26" s="5">
        <v>2582</v>
      </c>
    </row>
    <row r="27" ht="15.5" customHeight="1" spans="1:29">
      <c r="A27" s="8" t="s">
        <v>120</v>
      </c>
      <c r="B27" s="2">
        <v>311</v>
      </c>
      <c r="C27" s="3">
        <v>311</v>
      </c>
      <c r="D27" s="9">
        <v>0</v>
      </c>
      <c r="E27" s="5">
        <v>311</v>
      </c>
      <c r="Y27" s="8" t="s">
        <v>115</v>
      </c>
      <c r="Z27" s="2">
        <v>913</v>
      </c>
      <c r="AA27" s="3">
        <v>913</v>
      </c>
      <c r="AB27" s="9">
        <v>0</v>
      </c>
      <c r="AC27" s="5">
        <v>913</v>
      </c>
    </row>
    <row r="28" ht="15.5" customHeight="1" spans="1:29">
      <c r="A28" s="8" t="s">
        <v>230</v>
      </c>
      <c r="B28" s="2">
        <v>127991</v>
      </c>
      <c r="C28" s="3" t="s">
        <v>246</v>
      </c>
      <c r="D28" s="9">
        <v>0</v>
      </c>
      <c r="E28" s="5" t="s">
        <v>247</v>
      </c>
      <c r="Y28" s="8" t="s">
        <v>58</v>
      </c>
      <c r="Z28" s="2">
        <v>22</v>
      </c>
      <c r="AA28" s="3">
        <v>22</v>
      </c>
      <c r="AB28" s="9">
        <v>0</v>
      </c>
      <c r="AC28" s="5">
        <v>22</v>
      </c>
    </row>
    <row r="29" ht="31" customHeight="1" spans="25:29">
      <c r="Y29" s="8" t="s">
        <v>230</v>
      </c>
      <c r="Z29" s="2">
        <v>892490</v>
      </c>
      <c r="AA29" s="3" t="s">
        <v>248</v>
      </c>
      <c r="AB29" s="9">
        <v>0</v>
      </c>
      <c r="AC29" s="5" t="s">
        <v>249</v>
      </c>
    </row>
  </sheetData>
  <mergeCells count="7">
    <mergeCell ref="F1:H1"/>
    <mergeCell ref="N1:P1"/>
    <mergeCell ref="V1:X1"/>
    <mergeCell ref="AD1:AF1"/>
    <mergeCell ref="F2:H2"/>
    <mergeCell ref="N2:P2"/>
    <mergeCell ref="V2:X2"/>
  </mergeCells>
  <pageMargins left="0.75" right="0.75" top="1" bottom="1" header="0.5" footer="0.5"/>
  <pageSetup paperSize="1"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34"/>
  <sheetViews>
    <sheetView zoomScale="42" zoomScaleNormal="42" topLeftCell="M1" workbookViewId="0">
      <selection activeCell="AH1" sqref="AH1:AI3"/>
    </sheetView>
  </sheetViews>
  <sheetFormatPr defaultColWidth="9" defaultRowHeight="14.5"/>
  <cols>
    <col min="1" max="1" width="44.6363636363636" customWidth="1"/>
    <col min="2" max="2" width="10.4545454545455" customWidth="1"/>
    <col min="3" max="3" width="14.6363636363636" customWidth="1"/>
    <col min="4" max="4" width="12.4545454545455" customWidth="1"/>
    <col min="5" max="5" width="26.1818181818182" customWidth="1"/>
    <col min="6" max="7" width="16.1818181818182" customWidth="1"/>
    <col min="8" max="8" width="19.5454545454545" customWidth="1"/>
    <col min="9" max="9" width="44.6363636363636" customWidth="1"/>
    <col min="10" max="10" width="14.1818181818182" customWidth="1"/>
    <col min="11" max="11" width="13.3636363636364" customWidth="1"/>
    <col min="12" max="12" width="12" customWidth="1"/>
    <col min="13" max="13" width="26.3636363636364" customWidth="1"/>
    <col min="14" max="14" width="9" customWidth="1"/>
    <col min="15" max="15" width="21.9090909090909" customWidth="1"/>
    <col min="16" max="16" width="9" customWidth="1"/>
    <col min="17" max="17" width="44.6363636363636" customWidth="1"/>
    <col min="18" max="19" width="10.9090909090909" customWidth="1"/>
    <col min="20" max="20" width="12.4545454545455" customWidth="1"/>
    <col min="21" max="21" width="10.9090909090909" customWidth="1"/>
    <col min="22" max="22" width="9" customWidth="1"/>
  </cols>
  <sheetData>
    <row r="1" ht="31.75" customHeight="1" spans="1:35">
      <c r="A1" s="1" t="s">
        <v>15</v>
      </c>
      <c r="B1" s="2" t="s">
        <v>22</v>
      </c>
      <c r="C1" s="3" t="s">
        <v>215</v>
      </c>
      <c r="D1" s="4" t="s">
        <v>216</v>
      </c>
      <c r="E1" s="5" t="s">
        <v>217</v>
      </c>
      <c r="F1" s="6" t="s">
        <v>218</v>
      </c>
      <c r="G1" s="6"/>
      <c r="H1" s="7"/>
      <c r="I1" s="1" t="s">
        <v>15</v>
      </c>
      <c r="J1" s="2" t="s">
        <v>22</v>
      </c>
      <c r="K1" s="3" t="s">
        <v>215</v>
      </c>
      <c r="L1" s="4" t="s">
        <v>216</v>
      </c>
      <c r="M1" s="5" t="s">
        <v>217</v>
      </c>
      <c r="N1" s="6" t="s">
        <v>219</v>
      </c>
      <c r="O1" s="6"/>
      <c r="P1" s="7"/>
      <c r="Q1" s="1" t="s">
        <v>15</v>
      </c>
      <c r="R1" s="2" t="s">
        <v>22</v>
      </c>
      <c r="S1" s="3" t="s">
        <v>215</v>
      </c>
      <c r="T1" s="4" t="s">
        <v>216</v>
      </c>
      <c r="U1" s="5" t="s">
        <v>217</v>
      </c>
      <c r="V1" s="6" t="s">
        <v>220</v>
      </c>
      <c r="W1" s="6"/>
      <c r="X1" s="7"/>
      <c r="Y1" s="1" t="s">
        <v>15</v>
      </c>
      <c r="Z1" s="2" t="s">
        <v>22</v>
      </c>
      <c r="AA1" s="3" t="s">
        <v>215</v>
      </c>
      <c r="AB1" s="4" t="s">
        <v>216</v>
      </c>
      <c r="AC1" s="5" t="s">
        <v>217</v>
      </c>
      <c r="AD1" s="6" t="s">
        <v>221</v>
      </c>
      <c r="AE1" s="6"/>
      <c r="AF1" s="7"/>
      <c r="AH1" s="18" t="s">
        <v>18</v>
      </c>
      <c r="AI1" s="18" t="s">
        <v>222</v>
      </c>
    </row>
    <row r="2" ht="44" customHeight="1" spans="1:35">
      <c r="A2" s="8" t="s">
        <v>23</v>
      </c>
      <c r="B2" s="2">
        <v>358562</v>
      </c>
      <c r="C2" s="3">
        <v>358562</v>
      </c>
      <c r="D2" s="9">
        <v>0</v>
      </c>
      <c r="E2" s="5">
        <v>358562</v>
      </c>
      <c r="F2" s="10" t="s">
        <v>250</v>
      </c>
      <c r="G2" s="10"/>
      <c r="H2" s="11"/>
      <c r="I2" s="8" t="s">
        <v>23</v>
      </c>
      <c r="J2" s="2">
        <v>450025</v>
      </c>
      <c r="K2" s="3">
        <v>450025</v>
      </c>
      <c r="L2" s="9">
        <v>0</v>
      </c>
      <c r="M2" s="5">
        <v>450025</v>
      </c>
      <c r="N2" s="10" t="s">
        <v>251</v>
      </c>
      <c r="O2" s="10"/>
      <c r="P2" s="11"/>
      <c r="Q2" s="8" t="s">
        <v>35</v>
      </c>
      <c r="R2" s="2">
        <v>319224</v>
      </c>
      <c r="S2" s="3">
        <v>319224</v>
      </c>
      <c r="T2" s="9">
        <v>0</v>
      </c>
      <c r="U2" s="5">
        <v>319224</v>
      </c>
      <c r="V2" s="10" t="s">
        <v>252</v>
      </c>
      <c r="W2" s="10"/>
      <c r="X2" s="11"/>
      <c r="Y2" s="8" t="s">
        <v>45</v>
      </c>
      <c r="Z2" s="2">
        <v>562034</v>
      </c>
      <c r="AA2" s="3">
        <v>562034</v>
      </c>
      <c r="AB2" s="9">
        <v>0</v>
      </c>
      <c r="AC2" s="5">
        <v>562034</v>
      </c>
      <c r="AD2" s="10"/>
      <c r="AE2" s="10"/>
      <c r="AF2" s="11"/>
      <c r="AH2" s="19" t="s">
        <v>226</v>
      </c>
      <c r="AI2" s="19">
        <v>0</v>
      </c>
    </row>
    <row r="3" ht="44" customHeight="1" spans="1:35">
      <c r="A3" s="8" t="s">
        <v>45</v>
      </c>
      <c r="B3" s="2">
        <v>345690</v>
      </c>
      <c r="C3" s="3">
        <v>345690</v>
      </c>
      <c r="D3" s="9">
        <v>0</v>
      </c>
      <c r="E3" s="5">
        <v>345690</v>
      </c>
      <c r="I3" s="8" t="s">
        <v>45</v>
      </c>
      <c r="J3" s="2">
        <v>446207</v>
      </c>
      <c r="K3" s="3">
        <v>446207</v>
      </c>
      <c r="L3" s="9">
        <v>0</v>
      </c>
      <c r="M3" s="5">
        <v>446207</v>
      </c>
      <c r="Q3" s="8" t="s">
        <v>45</v>
      </c>
      <c r="R3" s="2">
        <v>284400</v>
      </c>
      <c r="S3" s="3">
        <v>284400</v>
      </c>
      <c r="T3" s="9">
        <v>0</v>
      </c>
      <c r="U3" s="5">
        <v>284400</v>
      </c>
      <c r="Y3" s="8" t="s">
        <v>23</v>
      </c>
      <c r="Z3" s="2">
        <v>560483</v>
      </c>
      <c r="AA3" s="3">
        <v>560483</v>
      </c>
      <c r="AB3" s="9">
        <v>0</v>
      </c>
      <c r="AC3" s="5">
        <v>560483</v>
      </c>
      <c r="AH3" t="s">
        <v>26</v>
      </c>
      <c r="AI3" s="20">
        <v>32</v>
      </c>
    </row>
    <row r="4" ht="31.75" customHeight="1" spans="1:29">
      <c r="A4" s="8" t="s">
        <v>30</v>
      </c>
      <c r="B4" s="2">
        <v>340328</v>
      </c>
      <c r="C4" s="3">
        <v>340328</v>
      </c>
      <c r="D4" s="9">
        <v>0</v>
      </c>
      <c r="E4" s="5">
        <v>340328</v>
      </c>
      <c r="I4" s="8" t="s">
        <v>35</v>
      </c>
      <c r="J4" s="2">
        <v>440799</v>
      </c>
      <c r="K4" s="3">
        <v>440799</v>
      </c>
      <c r="L4" s="9">
        <v>0</v>
      </c>
      <c r="M4" s="5">
        <v>440799</v>
      </c>
      <c r="Q4" s="8" t="s">
        <v>23</v>
      </c>
      <c r="R4" s="2">
        <v>283610</v>
      </c>
      <c r="S4" s="3">
        <v>283610</v>
      </c>
      <c r="T4" s="9">
        <v>0</v>
      </c>
      <c r="U4" s="5">
        <v>283610</v>
      </c>
      <c r="Y4" s="8" t="s">
        <v>30</v>
      </c>
      <c r="Z4" s="2">
        <v>554929</v>
      </c>
      <c r="AA4" s="3">
        <v>554929</v>
      </c>
      <c r="AB4" s="9">
        <v>0</v>
      </c>
      <c r="AC4" s="5">
        <v>554929</v>
      </c>
    </row>
    <row r="5" ht="15.5" customHeight="1" spans="1:29">
      <c r="A5" s="8" t="s">
        <v>63</v>
      </c>
      <c r="B5" s="2">
        <v>336685</v>
      </c>
      <c r="C5" s="3">
        <v>336685</v>
      </c>
      <c r="D5" s="9">
        <v>0</v>
      </c>
      <c r="E5" s="5">
        <v>336685</v>
      </c>
      <c r="I5" s="8" t="s">
        <v>30</v>
      </c>
      <c r="J5" s="2">
        <v>440358</v>
      </c>
      <c r="K5" s="3">
        <v>440358</v>
      </c>
      <c r="L5" s="9">
        <v>0</v>
      </c>
      <c r="M5" s="5">
        <v>440358</v>
      </c>
      <c r="Q5" s="8" t="s">
        <v>30</v>
      </c>
      <c r="R5" s="2">
        <v>277297</v>
      </c>
      <c r="S5" s="3">
        <v>277297</v>
      </c>
      <c r="T5" s="9">
        <v>0</v>
      </c>
      <c r="U5" s="5">
        <v>277297</v>
      </c>
      <c r="Y5" s="8" t="s">
        <v>63</v>
      </c>
      <c r="Z5" s="2">
        <v>545443</v>
      </c>
      <c r="AA5" s="3">
        <v>545443</v>
      </c>
      <c r="AB5" s="9">
        <v>0</v>
      </c>
      <c r="AC5" s="5">
        <v>545443</v>
      </c>
    </row>
    <row r="6" ht="40.25" customHeight="1" spans="1:29">
      <c r="A6" s="8" t="s">
        <v>50</v>
      </c>
      <c r="B6" s="2">
        <v>327772</v>
      </c>
      <c r="C6" s="3">
        <v>327772</v>
      </c>
      <c r="D6" s="9">
        <v>0</v>
      </c>
      <c r="E6" s="5">
        <v>327772</v>
      </c>
      <c r="I6" s="8" t="s">
        <v>55</v>
      </c>
      <c r="J6" s="2">
        <v>438689</v>
      </c>
      <c r="K6" s="3">
        <v>438689</v>
      </c>
      <c r="L6" s="9">
        <v>0</v>
      </c>
      <c r="M6" s="5">
        <v>438689</v>
      </c>
      <c r="Q6" s="8" t="s">
        <v>63</v>
      </c>
      <c r="R6" s="2">
        <v>270109</v>
      </c>
      <c r="S6" s="3">
        <v>270109</v>
      </c>
      <c r="T6" s="9">
        <v>0</v>
      </c>
      <c r="U6" s="5">
        <v>270109</v>
      </c>
      <c r="Y6" s="8" t="s">
        <v>55</v>
      </c>
      <c r="Z6" s="2">
        <v>542551</v>
      </c>
      <c r="AA6" s="3">
        <v>542551</v>
      </c>
      <c r="AB6" s="9">
        <v>0</v>
      </c>
      <c r="AC6" s="5">
        <v>542551</v>
      </c>
    </row>
    <row r="7" ht="31.75" customHeight="1" spans="1:29">
      <c r="A7" s="8" t="s">
        <v>55</v>
      </c>
      <c r="B7" s="2">
        <v>322027</v>
      </c>
      <c r="C7" s="3">
        <v>322027</v>
      </c>
      <c r="D7" s="9">
        <v>0</v>
      </c>
      <c r="E7" s="5">
        <v>322027</v>
      </c>
      <c r="I7" s="8" t="s">
        <v>50</v>
      </c>
      <c r="J7" s="2">
        <v>435601</v>
      </c>
      <c r="K7" s="3">
        <v>435601</v>
      </c>
      <c r="L7" s="9">
        <v>0</v>
      </c>
      <c r="M7" s="5">
        <v>435601</v>
      </c>
      <c r="Q7" s="8" t="s">
        <v>50</v>
      </c>
      <c r="R7" s="2">
        <v>268117</v>
      </c>
      <c r="S7" s="3">
        <v>268117</v>
      </c>
      <c r="T7" s="9">
        <v>0</v>
      </c>
      <c r="U7" s="5">
        <v>268117</v>
      </c>
      <c r="Y7" s="8" t="s">
        <v>50</v>
      </c>
      <c r="Z7" s="2">
        <v>541403</v>
      </c>
      <c r="AA7" s="3">
        <v>541403</v>
      </c>
      <c r="AB7" s="9">
        <v>0</v>
      </c>
      <c r="AC7" s="5">
        <v>541403</v>
      </c>
    </row>
    <row r="8" ht="28.75" customHeight="1" spans="1:29">
      <c r="A8" s="8" t="s">
        <v>81</v>
      </c>
      <c r="B8" s="2">
        <v>314995</v>
      </c>
      <c r="C8" s="3">
        <v>314995</v>
      </c>
      <c r="D8" s="9">
        <v>0</v>
      </c>
      <c r="E8" s="5">
        <v>314995</v>
      </c>
      <c r="F8" s="12"/>
      <c r="I8" s="8" t="s">
        <v>63</v>
      </c>
      <c r="J8" s="2">
        <v>434723</v>
      </c>
      <c r="K8" s="3">
        <v>434723</v>
      </c>
      <c r="L8" s="9">
        <v>0</v>
      </c>
      <c r="M8" s="5">
        <v>434723</v>
      </c>
      <c r="N8" s="12"/>
      <c r="Q8" s="8" t="s">
        <v>81</v>
      </c>
      <c r="R8" s="2">
        <v>267611</v>
      </c>
      <c r="S8" s="3">
        <v>267611</v>
      </c>
      <c r="T8" s="9">
        <v>0</v>
      </c>
      <c r="U8" s="5">
        <v>267611</v>
      </c>
      <c r="Y8" s="8" t="s">
        <v>81</v>
      </c>
      <c r="Z8" s="2">
        <v>540213</v>
      </c>
      <c r="AA8" s="3">
        <v>540213</v>
      </c>
      <c r="AB8" s="9">
        <v>0</v>
      </c>
      <c r="AC8" s="5">
        <v>540213</v>
      </c>
    </row>
    <row r="9" ht="29.4" customHeight="1" spans="1:29">
      <c r="A9" s="8" t="s">
        <v>73</v>
      </c>
      <c r="B9" s="2">
        <v>302461</v>
      </c>
      <c r="C9" s="3">
        <v>302461</v>
      </c>
      <c r="D9" s="9">
        <v>0</v>
      </c>
      <c r="E9" s="5">
        <v>302461</v>
      </c>
      <c r="F9" s="13"/>
      <c r="I9" s="8" t="s">
        <v>81</v>
      </c>
      <c r="J9" s="2">
        <v>433985</v>
      </c>
      <c r="K9" s="3">
        <v>433985</v>
      </c>
      <c r="L9" s="9">
        <v>0</v>
      </c>
      <c r="M9" s="5">
        <v>433985</v>
      </c>
      <c r="O9" s="13"/>
      <c r="Q9" s="8" t="s">
        <v>73</v>
      </c>
      <c r="R9" s="2">
        <v>266653</v>
      </c>
      <c r="S9" s="3">
        <v>266653</v>
      </c>
      <c r="T9" s="9">
        <v>0</v>
      </c>
      <c r="U9" s="5">
        <v>266653</v>
      </c>
      <c r="Y9" s="8" t="s">
        <v>76</v>
      </c>
      <c r="Z9" s="2">
        <v>526052</v>
      </c>
      <c r="AA9" s="3">
        <v>526052</v>
      </c>
      <c r="AB9" s="9">
        <v>0</v>
      </c>
      <c r="AC9" s="5">
        <v>526052</v>
      </c>
    </row>
    <row r="10" ht="15.5" customHeight="1" spans="1:29">
      <c r="A10" s="8" t="s">
        <v>76</v>
      </c>
      <c r="B10" s="2">
        <v>299751</v>
      </c>
      <c r="C10" s="3">
        <v>299751</v>
      </c>
      <c r="D10" s="9">
        <v>0</v>
      </c>
      <c r="E10" s="5">
        <v>299751</v>
      </c>
      <c r="I10" s="8" t="s">
        <v>110</v>
      </c>
      <c r="J10" s="2">
        <v>424236</v>
      </c>
      <c r="K10" s="3">
        <v>424236</v>
      </c>
      <c r="L10" s="9">
        <v>0</v>
      </c>
      <c r="M10" s="5">
        <v>424236</v>
      </c>
      <c r="Q10" s="8" t="s">
        <v>68</v>
      </c>
      <c r="R10" s="2">
        <v>260351</v>
      </c>
      <c r="S10" s="3">
        <v>260351</v>
      </c>
      <c r="T10" s="9">
        <v>0</v>
      </c>
      <c r="U10" s="5">
        <v>260351</v>
      </c>
      <c r="Y10" s="8" t="s">
        <v>110</v>
      </c>
      <c r="Z10" s="2">
        <v>525076</v>
      </c>
      <c r="AA10" s="3">
        <v>525076</v>
      </c>
      <c r="AB10" s="9">
        <v>0</v>
      </c>
      <c r="AC10" s="5">
        <v>525076</v>
      </c>
    </row>
    <row r="11" ht="15.5" customHeight="1" spans="1:29">
      <c r="A11" s="8" t="s">
        <v>35</v>
      </c>
      <c r="B11" s="2">
        <v>296904</v>
      </c>
      <c r="C11" s="3">
        <v>296904</v>
      </c>
      <c r="D11" s="9">
        <v>0</v>
      </c>
      <c r="E11" s="5">
        <v>296904</v>
      </c>
      <c r="I11" s="8" t="s">
        <v>76</v>
      </c>
      <c r="J11" s="2">
        <v>422248</v>
      </c>
      <c r="K11" s="3">
        <v>422248</v>
      </c>
      <c r="L11" s="9">
        <v>0</v>
      </c>
      <c r="M11" s="5">
        <v>422248</v>
      </c>
      <c r="Q11" s="8" t="s">
        <v>55</v>
      </c>
      <c r="R11" s="2">
        <v>259686</v>
      </c>
      <c r="S11" s="3">
        <v>259686</v>
      </c>
      <c r="T11" s="9">
        <v>0</v>
      </c>
      <c r="U11" s="5">
        <v>259686</v>
      </c>
      <c r="Y11" s="8" t="s">
        <v>35</v>
      </c>
      <c r="Z11" s="2">
        <v>516705</v>
      </c>
      <c r="AA11" s="3">
        <v>516705</v>
      </c>
      <c r="AB11" s="9">
        <v>0</v>
      </c>
      <c r="AC11" s="5">
        <v>516705</v>
      </c>
    </row>
    <row r="12" ht="15.5" customHeight="1" spans="1:29">
      <c r="A12" s="8" t="s">
        <v>110</v>
      </c>
      <c r="B12" s="2">
        <v>292531</v>
      </c>
      <c r="C12" s="3">
        <v>292531</v>
      </c>
      <c r="D12" s="9">
        <v>0</v>
      </c>
      <c r="E12" s="5">
        <v>292531</v>
      </c>
      <c r="I12" s="8" t="s">
        <v>73</v>
      </c>
      <c r="J12" s="2">
        <v>409216</v>
      </c>
      <c r="K12" s="3">
        <v>409216</v>
      </c>
      <c r="L12" s="9">
        <v>0</v>
      </c>
      <c r="M12" s="5">
        <v>409216</v>
      </c>
      <c r="Q12" s="8" t="s">
        <v>100</v>
      </c>
      <c r="R12" s="2">
        <v>258170</v>
      </c>
      <c r="S12" s="3">
        <v>258170</v>
      </c>
      <c r="T12" s="9">
        <v>0</v>
      </c>
      <c r="U12" s="5">
        <v>258170</v>
      </c>
      <c r="Y12" s="8" t="s">
        <v>73</v>
      </c>
      <c r="Z12" s="2">
        <v>398153</v>
      </c>
      <c r="AA12" s="3">
        <v>398153</v>
      </c>
      <c r="AB12" s="9">
        <v>0</v>
      </c>
      <c r="AC12" s="5">
        <v>398153</v>
      </c>
    </row>
    <row r="13" ht="15.5" customHeight="1" spans="1:29">
      <c r="A13" s="8" t="s">
        <v>68</v>
      </c>
      <c r="B13" s="2">
        <v>288541</v>
      </c>
      <c r="C13" s="3">
        <v>288541</v>
      </c>
      <c r="D13" s="9">
        <v>0</v>
      </c>
      <c r="E13" s="5">
        <v>288541</v>
      </c>
      <c r="I13" s="8" t="s">
        <v>68</v>
      </c>
      <c r="J13" s="2">
        <v>405399</v>
      </c>
      <c r="K13" s="3">
        <v>405399</v>
      </c>
      <c r="L13" s="9">
        <v>0</v>
      </c>
      <c r="M13" s="5">
        <v>405399</v>
      </c>
      <c r="Q13" s="8" t="s">
        <v>110</v>
      </c>
      <c r="R13" s="2">
        <v>245573</v>
      </c>
      <c r="S13" s="3">
        <v>245573</v>
      </c>
      <c r="T13" s="9">
        <v>0</v>
      </c>
      <c r="U13" s="5">
        <v>245573</v>
      </c>
      <c r="Y13" s="8" t="s">
        <v>68</v>
      </c>
      <c r="Z13" s="2">
        <v>393345</v>
      </c>
      <c r="AA13" s="3">
        <v>393345</v>
      </c>
      <c r="AB13" s="9">
        <v>0</v>
      </c>
      <c r="AC13" s="5">
        <v>393345</v>
      </c>
    </row>
    <row r="14" ht="15.5" customHeight="1" spans="1:29">
      <c r="A14" s="8" t="s">
        <v>100</v>
      </c>
      <c r="B14" s="2">
        <v>280485</v>
      </c>
      <c r="C14" s="3">
        <v>280485</v>
      </c>
      <c r="D14" s="9">
        <v>0</v>
      </c>
      <c r="E14" s="5">
        <v>280485</v>
      </c>
      <c r="I14" s="8" t="s">
        <v>100</v>
      </c>
      <c r="J14" s="2">
        <v>403386</v>
      </c>
      <c r="K14" s="3">
        <v>403386</v>
      </c>
      <c r="L14" s="9">
        <v>0</v>
      </c>
      <c r="M14" s="5">
        <v>403386</v>
      </c>
      <c r="Q14" s="8" t="s">
        <v>76</v>
      </c>
      <c r="R14" s="2">
        <v>244114</v>
      </c>
      <c r="S14" s="3">
        <v>244114</v>
      </c>
      <c r="T14" s="9">
        <v>0</v>
      </c>
      <c r="U14" s="5">
        <v>244114</v>
      </c>
      <c r="Y14" s="8" t="s">
        <v>100</v>
      </c>
      <c r="Z14" s="2">
        <v>386236</v>
      </c>
      <c r="AA14" s="3">
        <v>386236</v>
      </c>
      <c r="AB14" s="9">
        <v>0</v>
      </c>
      <c r="AC14" s="5">
        <v>386236</v>
      </c>
    </row>
    <row r="15" ht="15.5" customHeight="1" spans="1:29">
      <c r="A15" s="8" t="s">
        <v>117</v>
      </c>
      <c r="B15" s="2">
        <v>217426</v>
      </c>
      <c r="C15" s="3">
        <v>217426</v>
      </c>
      <c r="D15" s="9">
        <v>0</v>
      </c>
      <c r="E15" s="5">
        <v>217426</v>
      </c>
      <c r="I15" s="8" t="s">
        <v>124</v>
      </c>
      <c r="J15" s="2">
        <v>379163</v>
      </c>
      <c r="K15" s="3">
        <v>379163</v>
      </c>
      <c r="L15" s="9">
        <v>0</v>
      </c>
      <c r="M15" s="5">
        <v>379163</v>
      </c>
      <c r="Q15" s="8" t="s">
        <v>124</v>
      </c>
      <c r="R15" s="2">
        <v>229011</v>
      </c>
      <c r="S15" s="3">
        <v>229011</v>
      </c>
      <c r="T15" s="9">
        <v>0</v>
      </c>
      <c r="U15" s="5">
        <v>229011</v>
      </c>
      <c r="Y15" s="8" t="s">
        <v>124</v>
      </c>
      <c r="Z15" s="2">
        <v>334781</v>
      </c>
      <c r="AA15" s="3">
        <v>334781</v>
      </c>
      <c r="AB15" s="9">
        <v>0</v>
      </c>
      <c r="AC15" s="5">
        <v>334781</v>
      </c>
    </row>
    <row r="16" ht="15.5" customHeight="1" spans="1:29">
      <c r="A16" s="8" t="s">
        <v>90</v>
      </c>
      <c r="B16" s="2">
        <v>206887</v>
      </c>
      <c r="C16" s="3">
        <v>206887</v>
      </c>
      <c r="D16" s="9">
        <v>0</v>
      </c>
      <c r="E16" s="5">
        <v>206887</v>
      </c>
      <c r="I16" s="8" t="s">
        <v>90</v>
      </c>
      <c r="J16" s="2">
        <v>375051</v>
      </c>
      <c r="K16" s="3">
        <v>375051</v>
      </c>
      <c r="L16" s="9">
        <v>0</v>
      </c>
      <c r="M16" s="5">
        <v>375051</v>
      </c>
      <c r="Q16" s="8" t="s">
        <v>90</v>
      </c>
      <c r="R16" s="2">
        <v>228909</v>
      </c>
      <c r="S16" s="3">
        <v>228909</v>
      </c>
      <c r="T16" s="9">
        <v>0</v>
      </c>
      <c r="U16" s="5">
        <v>228909</v>
      </c>
      <c r="Y16" s="8" t="s">
        <v>95</v>
      </c>
      <c r="Z16" s="2">
        <v>315233</v>
      </c>
      <c r="AA16" s="3">
        <v>315233</v>
      </c>
      <c r="AB16" s="9">
        <v>0</v>
      </c>
      <c r="AC16" s="5">
        <v>315233</v>
      </c>
    </row>
    <row r="17" ht="15.5" customHeight="1" spans="1:29">
      <c r="A17" s="8" t="s">
        <v>124</v>
      </c>
      <c r="B17" s="2">
        <v>203128</v>
      </c>
      <c r="C17" s="3">
        <v>203128</v>
      </c>
      <c r="D17" s="9">
        <v>0</v>
      </c>
      <c r="E17" s="5">
        <v>203128</v>
      </c>
      <c r="I17" s="8" t="s">
        <v>117</v>
      </c>
      <c r="J17" s="2">
        <v>329514</v>
      </c>
      <c r="K17" s="3">
        <v>329514</v>
      </c>
      <c r="L17" s="9">
        <v>0</v>
      </c>
      <c r="M17" s="5">
        <v>329514</v>
      </c>
      <c r="Q17" s="8" t="s">
        <v>95</v>
      </c>
      <c r="R17" s="2">
        <v>190335</v>
      </c>
      <c r="S17" s="3">
        <v>190335</v>
      </c>
      <c r="T17" s="9">
        <v>0</v>
      </c>
      <c r="U17" s="5">
        <v>190335</v>
      </c>
      <c r="Y17" s="8" t="s">
        <v>90</v>
      </c>
      <c r="Z17" s="2">
        <v>304739</v>
      </c>
      <c r="AA17" s="3">
        <v>304739</v>
      </c>
      <c r="AB17" s="9">
        <v>0</v>
      </c>
      <c r="AC17" s="5">
        <v>304739</v>
      </c>
    </row>
    <row r="18" ht="15.5" customHeight="1" spans="1:29">
      <c r="A18" s="8" t="s">
        <v>95</v>
      </c>
      <c r="B18" s="2">
        <v>188899</v>
      </c>
      <c r="C18" s="3">
        <v>188899</v>
      </c>
      <c r="D18" s="9">
        <v>0</v>
      </c>
      <c r="E18" s="5">
        <v>188899</v>
      </c>
      <c r="I18" s="8" t="s">
        <v>95</v>
      </c>
      <c r="J18" s="2">
        <v>328172</v>
      </c>
      <c r="K18" s="3">
        <v>328172</v>
      </c>
      <c r="L18" s="9">
        <v>0</v>
      </c>
      <c r="M18" s="5">
        <v>328172</v>
      </c>
      <c r="Q18" s="8" t="s">
        <v>117</v>
      </c>
      <c r="R18" s="2">
        <v>128508</v>
      </c>
      <c r="S18" s="3">
        <v>128508</v>
      </c>
      <c r="T18" s="9">
        <v>0</v>
      </c>
      <c r="U18" s="5">
        <v>128508</v>
      </c>
      <c r="Y18" s="8" t="s">
        <v>117</v>
      </c>
      <c r="Z18" s="2">
        <v>293658</v>
      </c>
      <c r="AA18" s="3">
        <v>293658</v>
      </c>
      <c r="AB18" s="9">
        <v>0</v>
      </c>
      <c r="AC18" s="5">
        <v>293658</v>
      </c>
    </row>
    <row r="19" ht="15.5" customHeight="1" spans="1:29">
      <c r="A19" s="8" t="s">
        <v>85</v>
      </c>
      <c r="B19" s="2">
        <v>184769</v>
      </c>
      <c r="C19" s="3">
        <v>184769</v>
      </c>
      <c r="D19" s="9">
        <v>0</v>
      </c>
      <c r="E19" s="5">
        <v>184769</v>
      </c>
      <c r="I19" s="8" t="s">
        <v>85</v>
      </c>
      <c r="J19" s="2">
        <v>307765</v>
      </c>
      <c r="K19" s="3">
        <v>307765</v>
      </c>
      <c r="L19" s="9">
        <v>0</v>
      </c>
      <c r="M19" s="5">
        <v>307765</v>
      </c>
      <c r="Q19" s="8" t="s">
        <v>85</v>
      </c>
      <c r="R19" s="2">
        <v>122647</v>
      </c>
      <c r="S19" s="3">
        <v>122647</v>
      </c>
      <c r="T19" s="9">
        <v>0</v>
      </c>
      <c r="U19" s="5">
        <v>122647</v>
      </c>
      <c r="Y19" s="8" t="s">
        <v>85</v>
      </c>
      <c r="Z19" s="2">
        <v>267738</v>
      </c>
      <c r="AA19" s="3">
        <v>267738</v>
      </c>
      <c r="AB19" s="9">
        <v>0</v>
      </c>
      <c r="AC19" s="5">
        <v>267738</v>
      </c>
    </row>
    <row r="20" ht="15.5" customHeight="1" spans="1:29">
      <c r="A20" s="8" t="s">
        <v>47</v>
      </c>
      <c r="B20" s="2">
        <v>136171</v>
      </c>
      <c r="C20" s="3">
        <v>136171</v>
      </c>
      <c r="D20" s="9">
        <v>0</v>
      </c>
      <c r="E20" s="5">
        <v>136171</v>
      </c>
      <c r="I20" s="8" t="s">
        <v>40</v>
      </c>
      <c r="J20" s="2">
        <v>61520</v>
      </c>
      <c r="K20" s="3">
        <v>61520</v>
      </c>
      <c r="L20" s="9">
        <v>0</v>
      </c>
      <c r="M20" s="5">
        <v>61520</v>
      </c>
      <c r="Q20" s="8" t="s">
        <v>115</v>
      </c>
      <c r="R20" s="2">
        <v>91975</v>
      </c>
      <c r="S20" s="3">
        <v>91975</v>
      </c>
      <c r="T20" s="9">
        <v>0</v>
      </c>
      <c r="U20" s="5">
        <v>91975</v>
      </c>
      <c r="Y20" s="8" t="s">
        <v>134</v>
      </c>
      <c r="Z20" s="2">
        <v>255408</v>
      </c>
      <c r="AA20" s="3">
        <v>255408</v>
      </c>
      <c r="AB20" s="9">
        <v>0</v>
      </c>
      <c r="AC20" s="5">
        <v>255408</v>
      </c>
    </row>
    <row r="21" ht="15.5" customHeight="1" spans="1:29">
      <c r="A21" s="8" t="s">
        <v>115</v>
      </c>
      <c r="B21" s="2">
        <v>123462</v>
      </c>
      <c r="C21" s="3">
        <v>123462</v>
      </c>
      <c r="D21" s="9">
        <v>0</v>
      </c>
      <c r="E21" s="5">
        <v>123462</v>
      </c>
      <c r="I21" s="8" t="s">
        <v>47</v>
      </c>
      <c r="J21" s="2">
        <v>60331</v>
      </c>
      <c r="K21" s="3">
        <v>60331</v>
      </c>
      <c r="L21" s="9">
        <v>0</v>
      </c>
      <c r="M21" s="5">
        <v>60331</v>
      </c>
      <c r="Q21" s="8" t="s">
        <v>134</v>
      </c>
      <c r="R21" s="2">
        <v>61340</v>
      </c>
      <c r="S21" s="3">
        <v>61340</v>
      </c>
      <c r="T21" s="9">
        <v>0</v>
      </c>
      <c r="U21" s="5">
        <v>61340</v>
      </c>
      <c r="Y21" s="8" t="s">
        <v>40</v>
      </c>
      <c r="Z21" s="2">
        <v>226181</v>
      </c>
      <c r="AA21" s="3">
        <v>226181</v>
      </c>
      <c r="AB21" s="9">
        <v>0</v>
      </c>
      <c r="AC21" s="5">
        <v>226181</v>
      </c>
    </row>
    <row r="22" ht="15.5" customHeight="1" spans="1:29">
      <c r="A22" s="8" t="s">
        <v>40</v>
      </c>
      <c r="B22" s="2">
        <v>123455</v>
      </c>
      <c r="C22" s="3">
        <v>123455</v>
      </c>
      <c r="D22" s="9">
        <v>0</v>
      </c>
      <c r="E22" s="5">
        <v>123455</v>
      </c>
      <c r="I22" s="8" t="s">
        <v>115</v>
      </c>
      <c r="J22" s="2">
        <v>44752</v>
      </c>
      <c r="K22" s="3">
        <v>44752</v>
      </c>
      <c r="L22" s="9">
        <v>0</v>
      </c>
      <c r="M22" s="5">
        <v>44752</v>
      </c>
      <c r="Q22" s="8" t="s">
        <v>47</v>
      </c>
      <c r="R22" s="2">
        <v>47789</v>
      </c>
      <c r="S22" s="3">
        <v>47789</v>
      </c>
      <c r="T22" s="9">
        <v>0</v>
      </c>
      <c r="U22" s="5">
        <v>47789</v>
      </c>
      <c r="Y22" s="8" t="s">
        <v>47</v>
      </c>
      <c r="Z22" s="2">
        <v>190069</v>
      </c>
      <c r="AA22" s="3">
        <v>190069</v>
      </c>
      <c r="AB22" s="9">
        <v>0</v>
      </c>
      <c r="AC22" s="5">
        <v>190069</v>
      </c>
    </row>
    <row r="23" ht="15.5" customHeight="1" spans="1:29">
      <c r="A23" s="8" t="s">
        <v>197</v>
      </c>
      <c r="B23" s="2">
        <v>100459</v>
      </c>
      <c r="C23" s="3">
        <v>100459</v>
      </c>
      <c r="D23" s="9">
        <v>0</v>
      </c>
      <c r="E23" s="5">
        <v>100459</v>
      </c>
      <c r="I23" s="8" t="s">
        <v>134</v>
      </c>
      <c r="J23" s="2">
        <v>40680</v>
      </c>
      <c r="K23" s="3">
        <v>40680</v>
      </c>
      <c r="L23" s="9">
        <v>0</v>
      </c>
      <c r="M23" s="5">
        <v>40680</v>
      </c>
      <c r="Q23" s="8" t="s">
        <v>40</v>
      </c>
      <c r="R23" s="2">
        <v>43593</v>
      </c>
      <c r="S23" s="3">
        <v>43593</v>
      </c>
      <c r="T23" s="9">
        <v>0</v>
      </c>
      <c r="U23" s="5">
        <v>43593</v>
      </c>
      <c r="Y23" s="8" t="s">
        <v>139</v>
      </c>
      <c r="Z23" s="2">
        <v>179243</v>
      </c>
      <c r="AA23" s="3">
        <v>179243</v>
      </c>
      <c r="AB23" s="9">
        <v>0</v>
      </c>
      <c r="AC23" s="5">
        <v>179243</v>
      </c>
    </row>
    <row r="24" ht="15.5" customHeight="1" spans="1:29">
      <c r="A24" s="8" t="s">
        <v>134</v>
      </c>
      <c r="B24" s="2">
        <v>100310</v>
      </c>
      <c r="C24" s="3">
        <v>100310</v>
      </c>
      <c r="D24" s="9">
        <v>0</v>
      </c>
      <c r="E24" s="5">
        <v>100310</v>
      </c>
      <c r="I24" s="8" t="s">
        <v>139</v>
      </c>
      <c r="J24" s="2">
        <v>36127</v>
      </c>
      <c r="K24" s="3">
        <v>36127</v>
      </c>
      <c r="L24" s="9">
        <v>0</v>
      </c>
      <c r="M24" s="5">
        <v>36127</v>
      </c>
      <c r="Q24" s="8" t="s">
        <v>197</v>
      </c>
      <c r="R24" s="2">
        <v>25494</v>
      </c>
      <c r="S24" s="3">
        <v>25494</v>
      </c>
      <c r="T24" s="9">
        <v>0</v>
      </c>
      <c r="U24" s="5">
        <v>25494</v>
      </c>
      <c r="Y24" s="8" t="s">
        <v>120</v>
      </c>
      <c r="Z24" s="2">
        <v>158957</v>
      </c>
      <c r="AA24" s="3">
        <v>158957</v>
      </c>
      <c r="AB24" s="9">
        <v>0</v>
      </c>
      <c r="AC24" s="5">
        <v>158957</v>
      </c>
    </row>
    <row r="25" ht="15.5" customHeight="1" spans="1:29">
      <c r="A25" s="8" t="s">
        <v>129</v>
      </c>
      <c r="B25" s="2">
        <v>78359</v>
      </c>
      <c r="C25" s="3">
        <v>78359</v>
      </c>
      <c r="D25" s="9">
        <v>0</v>
      </c>
      <c r="E25" s="5">
        <v>78359</v>
      </c>
      <c r="I25" s="8" t="s">
        <v>120</v>
      </c>
      <c r="J25" s="2">
        <v>32975</v>
      </c>
      <c r="K25" s="3">
        <v>32975</v>
      </c>
      <c r="L25" s="9">
        <v>0</v>
      </c>
      <c r="M25" s="5">
        <v>32975</v>
      </c>
      <c r="Q25" s="8" t="s">
        <v>105</v>
      </c>
      <c r="R25" s="2">
        <v>17054</v>
      </c>
      <c r="S25" s="3">
        <v>17054</v>
      </c>
      <c r="T25" s="9">
        <v>0</v>
      </c>
      <c r="U25" s="5">
        <v>17054</v>
      </c>
      <c r="Y25" s="8" t="s">
        <v>197</v>
      </c>
      <c r="Z25" s="2">
        <v>92428</v>
      </c>
      <c r="AA25" s="3">
        <v>92428</v>
      </c>
      <c r="AB25" s="9">
        <v>0</v>
      </c>
      <c r="AC25" s="5">
        <v>92428</v>
      </c>
    </row>
    <row r="26" ht="15.5" customHeight="1" spans="1:29">
      <c r="A26" s="8" t="s">
        <v>139</v>
      </c>
      <c r="B26" s="2">
        <v>49025</v>
      </c>
      <c r="C26" s="3">
        <v>49025</v>
      </c>
      <c r="D26" s="9">
        <v>0</v>
      </c>
      <c r="E26" s="5">
        <v>49025</v>
      </c>
      <c r="I26" s="8" t="s">
        <v>129</v>
      </c>
      <c r="J26" s="2">
        <v>13590</v>
      </c>
      <c r="K26" s="3">
        <v>13590</v>
      </c>
      <c r="L26" s="9">
        <v>0</v>
      </c>
      <c r="M26" s="5">
        <v>13590</v>
      </c>
      <c r="Q26" s="8" t="s">
        <v>58</v>
      </c>
      <c r="R26" s="2">
        <v>13242</v>
      </c>
      <c r="S26" s="3">
        <v>13242</v>
      </c>
      <c r="T26" s="9">
        <v>0</v>
      </c>
      <c r="U26" s="5">
        <v>13242</v>
      </c>
      <c r="Y26" s="8" t="s">
        <v>115</v>
      </c>
      <c r="Z26" s="2">
        <v>53255</v>
      </c>
      <c r="AA26" s="3">
        <v>53255</v>
      </c>
      <c r="AB26" s="9">
        <v>0</v>
      </c>
      <c r="AC26" s="5">
        <v>53255</v>
      </c>
    </row>
    <row r="27" ht="15.5" customHeight="1" spans="1:29">
      <c r="A27" s="8" t="s">
        <v>120</v>
      </c>
      <c r="B27" s="2">
        <v>39789</v>
      </c>
      <c r="C27" s="3">
        <v>39789</v>
      </c>
      <c r="D27" s="9">
        <v>0</v>
      </c>
      <c r="E27" s="5">
        <v>39789</v>
      </c>
      <c r="I27" s="8" t="s">
        <v>197</v>
      </c>
      <c r="J27" s="2">
        <v>13207</v>
      </c>
      <c r="K27" s="3">
        <v>13207</v>
      </c>
      <c r="L27" s="9">
        <v>0</v>
      </c>
      <c r="M27" s="5">
        <v>13207</v>
      </c>
      <c r="Q27" s="8" t="s">
        <v>129</v>
      </c>
      <c r="R27" s="2">
        <v>10426</v>
      </c>
      <c r="S27" s="3">
        <v>10426</v>
      </c>
      <c r="T27" s="9">
        <v>0</v>
      </c>
      <c r="U27" s="5">
        <v>10426</v>
      </c>
      <c r="Y27" s="8" t="s">
        <v>129</v>
      </c>
      <c r="Z27" s="2">
        <v>10854</v>
      </c>
      <c r="AA27" s="3">
        <v>10854</v>
      </c>
      <c r="AB27" s="9">
        <v>0</v>
      </c>
      <c r="AC27" s="5">
        <v>10854</v>
      </c>
    </row>
    <row r="28" ht="15.5" customHeight="1" spans="1:29">
      <c r="A28" s="8" t="s">
        <v>144</v>
      </c>
      <c r="B28" s="2">
        <v>29153</v>
      </c>
      <c r="C28" s="3">
        <v>29153</v>
      </c>
      <c r="D28" s="9">
        <v>0</v>
      </c>
      <c r="E28" s="5">
        <v>29153</v>
      </c>
      <c r="I28" s="8" t="s">
        <v>105</v>
      </c>
      <c r="J28" s="2">
        <v>10832</v>
      </c>
      <c r="K28" s="3">
        <v>10832</v>
      </c>
      <c r="L28" s="9">
        <v>0</v>
      </c>
      <c r="M28" s="5">
        <v>10832</v>
      </c>
      <c r="Q28" s="8" t="s">
        <v>144</v>
      </c>
      <c r="R28" s="2">
        <v>7743</v>
      </c>
      <c r="S28" s="3">
        <v>7743</v>
      </c>
      <c r="T28" s="9">
        <v>0</v>
      </c>
      <c r="U28" s="5">
        <v>7743</v>
      </c>
      <c r="Y28" s="8" t="s">
        <v>105</v>
      </c>
      <c r="Z28" s="2">
        <v>8438</v>
      </c>
      <c r="AA28" s="3">
        <v>8438</v>
      </c>
      <c r="AB28" s="9">
        <v>0</v>
      </c>
      <c r="AC28" s="5">
        <v>8438</v>
      </c>
    </row>
    <row r="29" ht="15.5" customHeight="1" spans="1:29">
      <c r="A29" s="8" t="s">
        <v>105</v>
      </c>
      <c r="B29" s="2">
        <v>22584</v>
      </c>
      <c r="C29" s="3">
        <v>22584</v>
      </c>
      <c r="D29" s="9">
        <v>0</v>
      </c>
      <c r="E29" s="5">
        <v>22584</v>
      </c>
      <c r="I29" s="8" t="s">
        <v>144</v>
      </c>
      <c r="J29" s="2">
        <v>10425</v>
      </c>
      <c r="K29" s="3">
        <v>10425</v>
      </c>
      <c r="L29" s="9">
        <v>0</v>
      </c>
      <c r="M29" s="5">
        <v>10425</v>
      </c>
      <c r="Q29" s="8" t="s">
        <v>139</v>
      </c>
      <c r="R29" s="2">
        <v>3219</v>
      </c>
      <c r="S29" s="3">
        <v>3219</v>
      </c>
      <c r="T29" s="9">
        <v>0</v>
      </c>
      <c r="U29" s="5">
        <v>3219</v>
      </c>
      <c r="Y29" s="8" t="s">
        <v>144</v>
      </c>
      <c r="Z29" s="2">
        <v>7023</v>
      </c>
      <c r="AA29" s="3">
        <v>7023</v>
      </c>
      <c r="AB29" s="9">
        <v>0</v>
      </c>
      <c r="AC29" s="5">
        <v>7023</v>
      </c>
    </row>
    <row r="30" ht="15.5" customHeight="1" spans="1:29">
      <c r="A30" s="8" t="s">
        <v>149</v>
      </c>
      <c r="B30" s="2">
        <v>14088</v>
      </c>
      <c r="C30" s="3">
        <v>14088</v>
      </c>
      <c r="D30" s="9">
        <v>0</v>
      </c>
      <c r="E30" s="5">
        <v>14088</v>
      </c>
      <c r="I30" s="8" t="s">
        <v>58</v>
      </c>
      <c r="J30" s="2">
        <v>6414</v>
      </c>
      <c r="K30" s="3">
        <v>6414</v>
      </c>
      <c r="L30" s="9">
        <v>0</v>
      </c>
      <c r="M30" s="5">
        <v>6414</v>
      </c>
      <c r="Q30" s="8" t="s">
        <v>154</v>
      </c>
      <c r="R30" s="2">
        <v>2370</v>
      </c>
      <c r="S30" s="3">
        <v>2370</v>
      </c>
      <c r="T30" s="9">
        <v>0</v>
      </c>
      <c r="U30" s="5">
        <v>2370</v>
      </c>
      <c r="Y30" s="8" t="s">
        <v>58</v>
      </c>
      <c r="Z30" s="2">
        <v>5758</v>
      </c>
      <c r="AA30" s="3">
        <v>5758</v>
      </c>
      <c r="AB30" s="9">
        <v>0</v>
      </c>
      <c r="AC30" s="5">
        <v>5758</v>
      </c>
    </row>
    <row r="31" ht="15.5" customHeight="1" spans="1:29">
      <c r="A31" s="8" t="s">
        <v>58</v>
      </c>
      <c r="B31" s="2">
        <v>11060</v>
      </c>
      <c r="C31" s="3">
        <v>11060</v>
      </c>
      <c r="D31" s="9">
        <v>0</v>
      </c>
      <c r="E31" s="5">
        <v>11060</v>
      </c>
      <c r="I31" s="8" t="s">
        <v>149</v>
      </c>
      <c r="J31" s="2">
        <v>4700</v>
      </c>
      <c r="K31" s="3">
        <v>4700</v>
      </c>
      <c r="L31" s="9">
        <v>0</v>
      </c>
      <c r="M31" s="5">
        <v>4700</v>
      </c>
      <c r="Q31" s="8" t="s">
        <v>210</v>
      </c>
      <c r="R31" s="2">
        <v>2370</v>
      </c>
      <c r="S31" s="3">
        <v>2370</v>
      </c>
      <c r="T31" s="9">
        <v>0</v>
      </c>
      <c r="U31" s="5">
        <v>2370</v>
      </c>
      <c r="Y31" s="8" t="s">
        <v>154</v>
      </c>
      <c r="Z31" s="2">
        <v>3801</v>
      </c>
      <c r="AA31" s="3">
        <v>3801</v>
      </c>
      <c r="AB31" s="9">
        <v>0</v>
      </c>
      <c r="AC31" s="5">
        <v>3801</v>
      </c>
    </row>
    <row r="32" ht="15.5" customHeight="1" spans="1:29">
      <c r="A32" s="8" t="s">
        <v>154</v>
      </c>
      <c r="B32" s="2">
        <v>3166</v>
      </c>
      <c r="C32" s="3">
        <v>3166</v>
      </c>
      <c r="D32" s="9">
        <v>0</v>
      </c>
      <c r="E32" s="5">
        <v>3166</v>
      </c>
      <c r="I32" s="8" t="s">
        <v>210</v>
      </c>
      <c r="J32" s="2">
        <v>2882</v>
      </c>
      <c r="K32" s="3">
        <v>2882</v>
      </c>
      <c r="L32" s="9">
        <v>0</v>
      </c>
      <c r="M32" s="5">
        <v>2882</v>
      </c>
      <c r="Q32" s="8" t="s">
        <v>149</v>
      </c>
      <c r="R32" s="2">
        <v>2370</v>
      </c>
      <c r="S32" s="3">
        <v>2370</v>
      </c>
      <c r="T32" s="9">
        <v>0</v>
      </c>
      <c r="U32" s="5">
        <v>2370</v>
      </c>
      <c r="Y32" s="8" t="s">
        <v>210</v>
      </c>
      <c r="Z32" s="2">
        <v>2256</v>
      </c>
      <c r="AA32" s="3">
        <v>2256</v>
      </c>
      <c r="AB32" s="9">
        <v>0</v>
      </c>
      <c r="AC32" s="5">
        <v>2256</v>
      </c>
    </row>
    <row r="33" ht="77.5" customHeight="1" spans="1:29">
      <c r="A33" s="8" t="s">
        <v>210</v>
      </c>
      <c r="B33" s="2">
        <v>2384</v>
      </c>
      <c r="C33" s="3">
        <v>2384</v>
      </c>
      <c r="D33" s="9">
        <v>0</v>
      </c>
      <c r="E33" s="5">
        <v>2384</v>
      </c>
      <c r="I33" s="8" t="s">
        <v>154</v>
      </c>
      <c r="J33" s="2">
        <v>2334</v>
      </c>
      <c r="K33" s="3">
        <v>2334</v>
      </c>
      <c r="L33" s="9">
        <v>0</v>
      </c>
      <c r="M33" s="5">
        <v>2334</v>
      </c>
      <c r="Q33" s="8" t="s">
        <v>120</v>
      </c>
      <c r="R33" s="2">
        <v>1</v>
      </c>
      <c r="S33" s="3">
        <v>1</v>
      </c>
      <c r="T33" s="9">
        <v>0</v>
      </c>
      <c r="U33" s="5">
        <v>1</v>
      </c>
      <c r="Y33" s="8" t="s">
        <v>149</v>
      </c>
      <c r="Z33" s="2">
        <v>2256</v>
      </c>
      <c r="AA33" s="3">
        <v>2256</v>
      </c>
      <c r="AB33" s="9">
        <v>0</v>
      </c>
      <c r="AC33" s="5">
        <v>2256</v>
      </c>
    </row>
    <row r="34" ht="31" customHeight="1" spans="1:29">
      <c r="A34" s="8" t="s">
        <v>230</v>
      </c>
      <c r="B34" s="2">
        <v>5941306</v>
      </c>
      <c r="C34" s="3" t="s">
        <v>253</v>
      </c>
      <c r="D34" s="9">
        <v>0</v>
      </c>
      <c r="E34" s="5" t="s">
        <v>254</v>
      </c>
      <c r="I34" s="14" t="s">
        <v>230</v>
      </c>
      <c r="J34" s="15">
        <v>7645306</v>
      </c>
      <c r="K34" s="16" t="s">
        <v>255</v>
      </c>
      <c r="L34" s="14">
        <v>0</v>
      </c>
      <c r="M34" s="17" t="s">
        <v>256</v>
      </c>
      <c r="Q34" s="8" t="s">
        <v>230</v>
      </c>
      <c r="R34" s="2">
        <v>4733311</v>
      </c>
      <c r="S34" s="3" t="s">
        <v>257</v>
      </c>
      <c r="T34" s="9">
        <v>0</v>
      </c>
      <c r="U34" s="5" t="s">
        <v>258</v>
      </c>
      <c r="Y34" s="14" t="s">
        <v>230</v>
      </c>
      <c r="Z34" s="15">
        <v>9304699</v>
      </c>
      <c r="AA34" s="16" t="s">
        <v>259</v>
      </c>
      <c r="AB34" s="14">
        <v>0</v>
      </c>
      <c r="AC34" s="17" t="s">
        <v>260</v>
      </c>
    </row>
  </sheetData>
  <mergeCells count="8">
    <mergeCell ref="F1:H1"/>
    <mergeCell ref="N1:P1"/>
    <mergeCell ref="V1:X1"/>
    <mergeCell ref="AD1:AF1"/>
    <mergeCell ref="F2:H2"/>
    <mergeCell ref="N2:P2"/>
    <mergeCell ref="V2:X2"/>
    <mergeCell ref="AD2:AF2"/>
  </mergeCells>
  <pageMargins left="0.75" right="0.75" top="1" bottom="1" header="0.5" footer="0.5"/>
  <pageSetup paperSize="1"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Weekly Report Data</vt:lpstr>
      <vt:lpstr>Detailed Vuln Matrix IKY</vt:lpstr>
      <vt:lpstr>Detailed Vuln Matrix VGC</vt:lpstr>
      <vt:lpstr>Detailed Vuln Matrix OJT</vt:lpstr>
      <vt:lpstr>Summary Dashboard IKY</vt:lpstr>
      <vt:lpstr>Summary Dashboard VGC</vt:lpstr>
      <vt:lpstr>Summary Dashboard OJT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Oni</dc:creator>
  <cp:lastModifiedBy>Hp</cp:lastModifiedBy>
  <dcterms:created xsi:type="dcterms:W3CDTF">2025-10-11T16:43:00Z</dcterms:created>
  <dcterms:modified xsi:type="dcterms:W3CDTF">2026-08-16T20:56:06Z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CA9283F4C3604865977210A0A1F5DD17_13</vt:lpwstr>
  </property>
  <property fmtid="{D5CDD505-2E9C-101B-9397-08002B2CF9AE}" pid="3" name="KSOProductBuildVer">
    <vt:lpwstr>2057-12.2.0.23206</vt:lpwstr>
  </property>
  <property fmtid="{D5CDD505-2E9C-101B-9397-08002B2CF9AE}" pid="4" name="CalculationRule">
    <vt:i4>0</vt:i4>
  </property>
</Properties>
</file>